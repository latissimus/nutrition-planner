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flrn/Downloads/"/>
    </mc:Choice>
  </mc:AlternateContent>
  <xr:revisionPtr revIDLastSave="0" documentId="13_ncr:1_{762A5324-84EF-CC4F-AADC-2F91E4F2E67A}" xr6:coauthVersionLast="47" xr6:coauthVersionMax="47" xr10:uidLastSave="{00000000-0000-0000-0000-000000000000}"/>
  <bookViews>
    <workbookView xWindow="0" yWindow="620" windowWidth="28800" windowHeight="15740" xr2:uid="{00000000-000D-0000-FFFF-FFFF00000000}"/>
  </bookViews>
  <sheets>
    <sheet name="Person" sheetId="1" r:id="rId1"/>
    <sheet name="Tracking" sheetId="2" r:id="rId2"/>
    <sheet name="Grafik" sheetId="3" r:id="rId3"/>
  </sheets>
  <definedNames>
    <definedName name="Z_ABAAE3B4_BD11_4E4B_9CA9_F57AB63E348A_.wvu.PrintArea" localSheetId="2">Grafik!$A$1:$AC$39</definedName>
    <definedName name="Z_ABAAE3B4_BD11_4E4B_9CA9_F57AB63E348A_.wvu.PrintArea" localSheetId="1">Tracking!$A:$X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46" i="3" l="1"/>
  <c r="P247" i="3" s="1"/>
  <c r="O246" i="3"/>
  <c r="O247" i="3" s="1"/>
  <c r="N246" i="3"/>
  <c r="N247" i="3" s="1"/>
  <c r="M246" i="3"/>
  <c r="M247" i="3" s="1"/>
  <c r="L246" i="3"/>
  <c r="L247" i="3" s="1"/>
  <c r="K246" i="3"/>
  <c r="K247" i="3" s="1"/>
  <c r="J246" i="3"/>
  <c r="J247" i="3" s="1"/>
  <c r="I246" i="3"/>
  <c r="I247" i="3" s="1"/>
  <c r="H246" i="3"/>
  <c r="H247" i="3" s="1"/>
  <c r="G246" i="3"/>
  <c r="G247" i="3" s="1"/>
  <c r="F246" i="3"/>
  <c r="F247" i="3" s="1"/>
  <c r="E246" i="3"/>
  <c r="E247" i="3" s="1"/>
  <c r="D246" i="3"/>
  <c r="AA246" i="3" s="1"/>
  <c r="P244" i="3"/>
  <c r="P245" i="3" s="1"/>
  <c r="O244" i="3"/>
  <c r="O245" i="3" s="1"/>
  <c r="N244" i="3"/>
  <c r="N245" i="3" s="1"/>
  <c r="M244" i="3"/>
  <c r="M245" i="3" s="1"/>
  <c r="L244" i="3"/>
  <c r="L245" i="3" s="1"/>
  <c r="K244" i="3"/>
  <c r="K245" i="3" s="1"/>
  <c r="J244" i="3"/>
  <c r="J245" i="3" s="1"/>
  <c r="I244" i="3"/>
  <c r="I245" i="3" s="1"/>
  <c r="H244" i="3"/>
  <c r="H245" i="3" s="1"/>
  <c r="G244" i="3"/>
  <c r="G245" i="3" s="1"/>
  <c r="F244" i="3"/>
  <c r="E244" i="3"/>
  <c r="D244" i="3"/>
  <c r="D245" i="3" s="1"/>
  <c r="K243" i="3"/>
  <c r="P242" i="3"/>
  <c r="P243" i="3" s="1"/>
  <c r="O242" i="3"/>
  <c r="O243" i="3" s="1"/>
  <c r="N242" i="3"/>
  <c r="N243" i="3" s="1"/>
  <c r="M242" i="3"/>
  <c r="M243" i="3" s="1"/>
  <c r="L242" i="3"/>
  <c r="L243" i="3" s="1"/>
  <c r="K242" i="3"/>
  <c r="J242" i="3"/>
  <c r="J243" i="3" s="1"/>
  <c r="I242" i="3"/>
  <c r="I243" i="3" s="1"/>
  <c r="H242" i="3"/>
  <c r="H243" i="3" s="1"/>
  <c r="G242" i="3"/>
  <c r="G243" i="3" s="1"/>
  <c r="F242" i="3"/>
  <c r="F243" i="3" s="1"/>
  <c r="E242" i="3"/>
  <c r="E243" i="3" s="1"/>
  <c r="D242" i="3"/>
  <c r="D243" i="3" s="1"/>
  <c r="P240" i="3"/>
  <c r="P241" i="3" s="1"/>
  <c r="O240" i="3"/>
  <c r="O241" i="3" s="1"/>
  <c r="N240" i="3"/>
  <c r="N241" i="3" s="1"/>
  <c r="M240" i="3"/>
  <c r="M241" i="3" s="1"/>
  <c r="L240" i="3"/>
  <c r="L241" i="3" s="1"/>
  <c r="K240" i="3"/>
  <c r="K241" i="3" s="1"/>
  <c r="J240" i="3"/>
  <c r="J241" i="3" s="1"/>
  <c r="P205" i="2" s="1"/>
  <c r="I240" i="3"/>
  <c r="I241" i="3" s="1"/>
  <c r="O205" i="2" s="1"/>
  <c r="H240" i="3"/>
  <c r="H241" i="3" s="1"/>
  <c r="G240" i="3"/>
  <c r="G241" i="3" s="1"/>
  <c r="F240" i="3"/>
  <c r="E240" i="3"/>
  <c r="E241" i="3" s="1"/>
  <c r="D240" i="3"/>
  <c r="P239" i="3"/>
  <c r="H239" i="3"/>
  <c r="N203" i="2" s="1"/>
  <c r="P238" i="3"/>
  <c r="O238" i="3"/>
  <c r="O239" i="3" s="1"/>
  <c r="N238" i="3"/>
  <c r="N239" i="3" s="1"/>
  <c r="M238" i="3"/>
  <c r="M239" i="3" s="1"/>
  <c r="L238" i="3"/>
  <c r="L239" i="3" s="1"/>
  <c r="K238" i="3"/>
  <c r="K239" i="3" s="1"/>
  <c r="J238" i="3"/>
  <c r="J239" i="3" s="1"/>
  <c r="I238" i="3"/>
  <c r="I239" i="3" s="1"/>
  <c r="O203" i="2" s="1"/>
  <c r="H238" i="3"/>
  <c r="G238" i="3"/>
  <c r="G239" i="3" s="1"/>
  <c r="F238" i="3"/>
  <c r="F239" i="3" s="1"/>
  <c r="E238" i="3"/>
  <c r="D238" i="3"/>
  <c r="D239" i="3" s="1"/>
  <c r="J237" i="3"/>
  <c r="H237" i="3"/>
  <c r="P236" i="3"/>
  <c r="P237" i="3" s="1"/>
  <c r="V201" i="2" s="1"/>
  <c r="O236" i="3"/>
  <c r="O237" i="3" s="1"/>
  <c r="N236" i="3"/>
  <c r="N237" i="3" s="1"/>
  <c r="M236" i="3"/>
  <c r="M237" i="3" s="1"/>
  <c r="L236" i="3"/>
  <c r="L237" i="3" s="1"/>
  <c r="K236" i="3"/>
  <c r="K237" i="3" s="1"/>
  <c r="J236" i="3"/>
  <c r="I236" i="3"/>
  <c r="I237" i="3" s="1"/>
  <c r="O201" i="2" s="1"/>
  <c r="H236" i="3"/>
  <c r="G236" i="3"/>
  <c r="G237" i="3" s="1"/>
  <c r="F236" i="3"/>
  <c r="F237" i="3" s="1"/>
  <c r="E236" i="3"/>
  <c r="E237" i="3" s="1"/>
  <c r="D236" i="3"/>
  <c r="P235" i="3"/>
  <c r="O235" i="3"/>
  <c r="I235" i="3"/>
  <c r="H235" i="3"/>
  <c r="N199" i="2" s="1"/>
  <c r="G235" i="3"/>
  <c r="P234" i="3"/>
  <c r="O234" i="3"/>
  <c r="N234" i="3"/>
  <c r="N235" i="3" s="1"/>
  <c r="M234" i="3"/>
  <c r="M235" i="3" s="1"/>
  <c r="L234" i="3"/>
  <c r="L235" i="3" s="1"/>
  <c r="K234" i="3"/>
  <c r="K235" i="3" s="1"/>
  <c r="J234" i="3"/>
  <c r="J235" i="3" s="1"/>
  <c r="I234" i="3"/>
  <c r="H234" i="3"/>
  <c r="G234" i="3"/>
  <c r="F234" i="3"/>
  <c r="F235" i="3" s="1"/>
  <c r="E234" i="3"/>
  <c r="E235" i="3" s="1"/>
  <c r="D234" i="3"/>
  <c r="O233" i="3"/>
  <c r="N233" i="3"/>
  <c r="M233" i="3"/>
  <c r="G233" i="3"/>
  <c r="F233" i="3"/>
  <c r="E233" i="3"/>
  <c r="P232" i="3"/>
  <c r="P233" i="3" s="1"/>
  <c r="V197" i="2" s="1"/>
  <c r="O232" i="3"/>
  <c r="N232" i="3"/>
  <c r="M232" i="3"/>
  <c r="L232" i="3"/>
  <c r="L233" i="3" s="1"/>
  <c r="K232" i="3"/>
  <c r="K233" i="3" s="1"/>
  <c r="J232" i="3"/>
  <c r="J233" i="3" s="1"/>
  <c r="I232" i="3"/>
  <c r="I233" i="3" s="1"/>
  <c r="H232" i="3"/>
  <c r="H233" i="3" s="1"/>
  <c r="N197" i="2" s="1"/>
  <c r="G232" i="3"/>
  <c r="F232" i="3"/>
  <c r="E232" i="3"/>
  <c r="D232" i="3"/>
  <c r="D233" i="3" s="1"/>
  <c r="O231" i="3"/>
  <c r="N231" i="3"/>
  <c r="L231" i="3"/>
  <c r="D231" i="3"/>
  <c r="P230" i="3"/>
  <c r="P231" i="3" s="1"/>
  <c r="O230" i="3"/>
  <c r="N230" i="3"/>
  <c r="M230" i="3"/>
  <c r="M231" i="3" s="1"/>
  <c r="L230" i="3"/>
  <c r="K230" i="3"/>
  <c r="K231" i="3" s="1"/>
  <c r="J230" i="3"/>
  <c r="J231" i="3" s="1"/>
  <c r="I230" i="3"/>
  <c r="I231" i="3" s="1"/>
  <c r="O195" i="2" s="1"/>
  <c r="H230" i="3"/>
  <c r="H231" i="3" s="1"/>
  <c r="G230" i="3"/>
  <c r="G231" i="3" s="1"/>
  <c r="F230" i="3"/>
  <c r="E230" i="3"/>
  <c r="E231" i="3" s="1"/>
  <c r="D230" i="3"/>
  <c r="K229" i="3"/>
  <c r="Q193" i="2" s="1"/>
  <c r="E229" i="3"/>
  <c r="P228" i="3"/>
  <c r="P229" i="3" s="1"/>
  <c r="O228" i="3"/>
  <c r="O229" i="3" s="1"/>
  <c r="N228" i="3"/>
  <c r="N229" i="3" s="1"/>
  <c r="M228" i="3"/>
  <c r="M229" i="3" s="1"/>
  <c r="L228" i="3"/>
  <c r="L229" i="3" s="1"/>
  <c r="K228" i="3"/>
  <c r="J228" i="3"/>
  <c r="J229" i="3" s="1"/>
  <c r="I228" i="3"/>
  <c r="I229" i="3" s="1"/>
  <c r="H228" i="3"/>
  <c r="H229" i="3" s="1"/>
  <c r="G228" i="3"/>
  <c r="G229" i="3" s="1"/>
  <c r="F228" i="3"/>
  <c r="E228" i="3"/>
  <c r="D228" i="3"/>
  <c r="D229" i="3" s="1"/>
  <c r="K227" i="3"/>
  <c r="Q191" i="2" s="1"/>
  <c r="P226" i="3"/>
  <c r="P227" i="3" s="1"/>
  <c r="O226" i="3"/>
  <c r="O227" i="3" s="1"/>
  <c r="N226" i="3"/>
  <c r="N227" i="3" s="1"/>
  <c r="M226" i="3"/>
  <c r="M227" i="3" s="1"/>
  <c r="L226" i="3"/>
  <c r="L227" i="3" s="1"/>
  <c r="R191" i="2" s="1"/>
  <c r="K226" i="3"/>
  <c r="J226" i="3"/>
  <c r="J227" i="3" s="1"/>
  <c r="I226" i="3"/>
  <c r="I227" i="3" s="1"/>
  <c r="H226" i="3"/>
  <c r="H227" i="3" s="1"/>
  <c r="G226" i="3"/>
  <c r="G227" i="3" s="1"/>
  <c r="F226" i="3"/>
  <c r="F227" i="3" s="1"/>
  <c r="E226" i="3"/>
  <c r="D226" i="3"/>
  <c r="P224" i="3"/>
  <c r="P225" i="3" s="1"/>
  <c r="O224" i="3"/>
  <c r="O225" i="3" s="1"/>
  <c r="N224" i="3"/>
  <c r="N225" i="3" s="1"/>
  <c r="M224" i="3"/>
  <c r="M225" i="3" s="1"/>
  <c r="L224" i="3"/>
  <c r="L225" i="3" s="1"/>
  <c r="K224" i="3"/>
  <c r="K225" i="3" s="1"/>
  <c r="Q189" i="2" s="1"/>
  <c r="J224" i="3"/>
  <c r="J225" i="3" s="1"/>
  <c r="I224" i="3"/>
  <c r="I225" i="3" s="1"/>
  <c r="H224" i="3"/>
  <c r="H225" i="3" s="1"/>
  <c r="G224" i="3"/>
  <c r="G225" i="3" s="1"/>
  <c r="F224" i="3"/>
  <c r="F225" i="3" s="1"/>
  <c r="E224" i="3"/>
  <c r="E225" i="3" s="1"/>
  <c r="D224" i="3"/>
  <c r="P222" i="3"/>
  <c r="P223" i="3" s="1"/>
  <c r="O222" i="3"/>
  <c r="O223" i="3" s="1"/>
  <c r="N222" i="3"/>
  <c r="N223" i="3" s="1"/>
  <c r="M222" i="3"/>
  <c r="M223" i="3" s="1"/>
  <c r="L222" i="3"/>
  <c r="L223" i="3" s="1"/>
  <c r="K222" i="3"/>
  <c r="K223" i="3" s="1"/>
  <c r="J222" i="3"/>
  <c r="J223" i="3" s="1"/>
  <c r="I222" i="3"/>
  <c r="I223" i="3" s="1"/>
  <c r="H222" i="3"/>
  <c r="G222" i="3"/>
  <c r="G223" i="3" s="1"/>
  <c r="F222" i="3"/>
  <c r="E222" i="3"/>
  <c r="E223" i="3" s="1"/>
  <c r="D222" i="3"/>
  <c r="D223" i="3" s="1"/>
  <c r="O221" i="3"/>
  <c r="I221" i="3"/>
  <c r="G221" i="3"/>
  <c r="P220" i="3"/>
  <c r="P221" i="3" s="1"/>
  <c r="O220" i="3"/>
  <c r="N220" i="3"/>
  <c r="N221" i="3" s="1"/>
  <c r="M220" i="3"/>
  <c r="M221" i="3" s="1"/>
  <c r="L220" i="3"/>
  <c r="L221" i="3" s="1"/>
  <c r="K220" i="3"/>
  <c r="K221" i="3" s="1"/>
  <c r="Q185" i="2" s="1"/>
  <c r="J220" i="3"/>
  <c r="J221" i="3" s="1"/>
  <c r="I220" i="3"/>
  <c r="H220" i="3"/>
  <c r="H221" i="3" s="1"/>
  <c r="G220" i="3"/>
  <c r="F220" i="3"/>
  <c r="F221" i="3" s="1"/>
  <c r="E220" i="3"/>
  <c r="D220" i="3"/>
  <c r="P219" i="3"/>
  <c r="N219" i="3"/>
  <c r="P218" i="3"/>
  <c r="O218" i="3"/>
  <c r="O219" i="3" s="1"/>
  <c r="N218" i="3"/>
  <c r="M218" i="3"/>
  <c r="M219" i="3" s="1"/>
  <c r="L218" i="3"/>
  <c r="L219" i="3" s="1"/>
  <c r="K218" i="3"/>
  <c r="K219" i="3" s="1"/>
  <c r="J218" i="3"/>
  <c r="J219" i="3" s="1"/>
  <c r="I218" i="3"/>
  <c r="I219" i="3" s="1"/>
  <c r="H218" i="3"/>
  <c r="H219" i="3" s="1"/>
  <c r="G218" i="3"/>
  <c r="F218" i="3"/>
  <c r="F219" i="3" s="1"/>
  <c r="E218" i="3"/>
  <c r="E219" i="3" s="1"/>
  <c r="D218" i="3"/>
  <c r="I217" i="3"/>
  <c r="G217" i="3"/>
  <c r="P216" i="3"/>
  <c r="P217" i="3" s="1"/>
  <c r="O216" i="3"/>
  <c r="O217" i="3" s="1"/>
  <c r="N216" i="3"/>
  <c r="N217" i="3" s="1"/>
  <c r="M216" i="3"/>
  <c r="M217" i="3" s="1"/>
  <c r="L216" i="3"/>
  <c r="L217" i="3" s="1"/>
  <c r="K216" i="3"/>
  <c r="K217" i="3" s="1"/>
  <c r="J216" i="3"/>
  <c r="J217" i="3" s="1"/>
  <c r="I216" i="3"/>
  <c r="H216" i="3"/>
  <c r="G216" i="3"/>
  <c r="F216" i="3"/>
  <c r="F217" i="3" s="1"/>
  <c r="E216" i="3"/>
  <c r="E217" i="3" s="1"/>
  <c r="D216" i="3"/>
  <c r="D217" i="3" s="1"/>
  <c r="N215" i="3"/>
  <c r="L215" i="3"/>
  <c r="E215" i="3"/>
  <c r="D215" i="3"/>
  <c r="P214" i="3"/>
  <c r="P215" i="3" s="1"/>
  <c r="O214" i="3"/>
  <c r="O215" i="3" s="1"/>
  <c r="N214" i="3"/>
  <c r="M214" i="3"/>
  <c r="M215" i="3" s="1"/>
  <c r="L214" i="3"/>
  <c r="K214" i="3"/>
  <c r="K215" i="3" s="1"/>
  <c r="J214" i="3"/>
  <c r="J215" i="3" s="1"/>
  <c r="I214" i="3"/>
  <c r="H214" i="3"/>
  <c r="H215" i="3" s="1"/>
  <c r="G214" i="3"/>
  <c r="G215" i="3" s="1"/>
  <c r="F214" i="3"/>
  <c r="F215" i="3" s="1"/>
  <c r="E214" i="3"/>
  <c r="D214" i="3"/>
  <c r="L213" i="3"/>
  <c r="K213" i="3"/>
  <c r="P212" i="3"/>
  <c r="P213" i="3" s="1"/>
  <c r="O212" i="3"/>
  <c r="O213" i="3" s="1"/>
  <c r="N212" i="3"/>
  <c r="N213" i="3" s="1"/>
  <c r="M212" i="3"/>
  <c r="M213" i="3" s="1"/>
  <c r="L212" i="3"/>
  <c r="K212" i="3"/>
  <c r="J212" i="3"/>
  <c r="J213" i="3" s="1"/>
  <c r="I212" i="3"/>
  <c r="I213" i="3" s="1"/>
  <c r="H212" i="3"/>
  <c r="H213" i="3" s="1"/>
  <c r="G212" i="3"/>
  <c r="F212" i="3"/>
  <c r="F213" i="3" s="1"/>
  <c r="E212" i="3"/>
  <c r="D212" i="3"/>
  <c r="D213" i="3" s="1"/>
  <c r="J211" i="3"/>
  <c r="P210" i="3"/>
  <c r="P211" i="3" s="1"/>
  <c r="O210" i="3"/>
  <c r="O211" i="3" s="1"/>
  <c r="N210" i="3"/>
  <c r="N211" i="3" s="1"/>
  <c r="M210" i="3"/>
  <c r="M211" i="3" s="1"/>
  <c r="L210" i="3"/>
  <c r="L211" i="3" s="1"/>
  <c r="K210" i="3"/>
  <c r="K211" i="3" s="1"/>
  <c r="J210" i="3"/>
  <c r="I210" i="3"/>
  <c r="I211" i="3" s="1"/>
  <c r="H210" i="3"/>
  <c r="H211" i="3" s="1"/>
  <c r="G210" i="3"/>
  <c r="F210" i="3"/>
  <c r="F211" i="3" s="1"/>
  <c r="E210" i="3"/>
  <c r="E211" i="3" s="1"/>
  <c r="D210" i="3"/>
  <c r="D211" i="3" s="1"/>
  <c r="P208" i="3"/>
  <c r="P209" i="3" s="1"/>
  <c r="O208" i="3"/>
  <c r="O209" i="3" s="1"/>
  <c r="N208" i="3"/>
  <c r="N209" i="3" s="1"/>
  <c r="M208" i="3"/>
  <c r="M209" i="3" s="1"/>
  <c r="L208" i="3"/>
  <c r="L209" i="3" s="1"/>
  <c r="K208" i="3"/>
  <c r="K209" i="3" s="1"/>
  <c r="Q173" i="2" s="1"/>
  <c r="J208" i="3"/>
  <c r="J209" i="3" s="1"/>
  <c r="I208" i="3"/>
  <c r="I209" i="3" s="1"/>
  <c r="O173" i="2" s="1"/>
  <c r="H208" i="3"/>
  <c r="H209" i="3" s="1"/>
  <c r="G208" i="3"/>
  <c r="G209" i="3" s="1"/>
  <c r="F208" i="3"/>
  <c r="F209" i="3" s="1"/>
  <c r="E208" i="3"/>
  <c r="D208" i="3"/>
  <c r="I207" i="3"/>
  <c r="O171" i="2" s="1"/>
  <c r="H207" i="3"/>
  <c r="P206" i="3"/>
  <c r="P207" i="3" s="1"/>
  <c r="O206" i="3"/>
  <c r="O207" i="3" s="1"/>
  <c r="N206" i="3"/>
  <c r="N207" i="3" s="1"/>
  <c r="M206" i="3"/>
  <c r="M207" i="3" s="1"/>
  <c r="L206" i="3"/>
  <c r="L207" i="3" s="1"/>
  <c r="K206" i="3"/>
  <c r="K207" i="3" s="1"/>
  <c r="J206" i="3"/>
  <c r="I206" i="3"/>
  <c r="H206" i="3"/>
  <c r="G206" i="3"/>
  <c r="G207" i="3" s="1"/>
  <c r="F206" i="3"/>
  <c r="F207" i="3" s="1"/>
  <c r="E206" i="3"/>
  <c r="E207" i="3" s="1"/>
  <c r="D206" i="3"/>
  <c r="P205" i="3"/>
  <c r="K205" i="3"/>
  <c r="J205" i="3"/>
  <c r="P204" i="3"/>
  <c r="O204" i="3"/>
  <c r="O205" i="3" s="1"/>
  <c r="N204" i="3"/>
  <c r="N205" i="3" s="1"/>
  <c r="M204" i="3"/>
  <c r="M205" i="3" s="1"/>
  <c r="L204" i="3"/>
  <c r="L205" i="3" s="1"/>
  <c r="K204" i="3"/>
  <c r="J204" i="3"/>
  <c r="I204" i="3"/>
  <c r="I205" i="3" s="1"/>
  <c r="H204" i="3"/>
  <c r="H205" i="3" s="1"/>
  <c r="G204" i="3"/>
  <c r="G205" i="3" s="1"/>
  <c r="F204" i="3"/>
  <c r="F205" i="3" s="1"/>
  <c r="E204" i="3"/>
  <c r="D204" i="3"/>
  <c r="O203" i="3"/>
  <c r="I203" i="3"/>
  <c r="H203" i="3"/>
  <c r="G203" i="3"/>
  <c r="P202" i="3"/>
  <c r="P203" i="3" s="1"/>
  <c r="O202" i="3"/>
  <c r="N202" i="3"/>
  <c r="N203" i="3" s="1"/>
  <c r="M202" i="3"/>
  <c r="M203" i="3" s="1"/>
  <c r="L202" i="3"/>
  <c r="L203" i="3" s="1"/>
  <c r="K202" i="3"/>
  <c r="K203" i="3" s="1"/>
  <c r="J202" i="3"/>
  <c r="J203" i="3" s="1"/>
  <c r="I202" i="3"/>
  <c r="H202" i="3"/>
  <c r="G202" i="3"/>
  <c r="F202" i="3"/>
  <c r="F203" i="3" s="1"/>
  <c r="E202" i="3"/>
  <c r="E203" i="3" s="1"/>
  <c r="D202" i="3"/>
  <c r="P201" i="3"/>
  <c r="M201" i="3"/>
  <c r="E201" i="3"/>
  <c r="P200" i="3"/>
  <c r="O200" i="3"/>
  <c r="O201" i="3" s="1"/>
  <c r="N200" i="3"/>
  <c r="N201" i="3" s="1"/>
  <c r="M200" i="3"/>
  <c r="L200" i="3"/>
  <c r="L201" i="3" s="1"/>
  <c r="K200" i="3"/>
  <c r="K201" i="3" s="1"/>
  <c r="J200" i="3"/>
  <c r="J201" i="3" s="1"/>
  <c r="I200" i="3"/>
  <c r="H200" i="3"/>
  <c r="H201" i="3" s="1"/>
  <c r="N165" i="2" s="1"/>
  <c r="G200" i="3"/>
  <c r="F200" i="3"/>
  <c r="F201" i="3" s="1"/>
  <c r="E200" i="3"/>
  <c r="D200" i="3"/>
  <c r="D201" i="3" s="1"/>
  <c r="M199" i="3"/>
  <c r="I199" i="3"/>
  <c r="H199" i="3"/>
  <c r="P198" i="3"/>
  <c r="P199" i="3" s="1"/>
  <c r="O198" i="3"/>
  <c r="O199" i="3" s="1"/>
  <c r="N198" i="3"/>
  <c r="N199" i="3" s="1"/>
  <c r="T163" i="2" s="1"/>
  <c r="M198" i="3"/>
  <c r="L198" i="3"/>
  <c r="L199" i="3" s="1"/>
  <c r="K198" i="3"/>
  <c r="K199" i="3" s="1"/>
  <c r="J198" i="3"/>
  <c r="J199" i="3" s="1"/>
  <c r="I198" i="3"/>
  <c r="H198" i="3"/>
  <c r="G198" i="3"/>
  <c r="G199" i="3" s="1"/>
  <c r="F198" i="3"/>
  <c r="F199" i="3" s="1"/>
  <c r="L163" i="2" s="1"/>
  <c r="E198" i="3"/>
  <c r="E199" i="3" s="1"/>
  <c r="D198" i="3"/>
  <c r="P196" i="3"/>
  <c r="P197" i="3" s="1"/>
  <c r="O196" i="3"/>
  <c r="O197" i="3" s="1"/>
  <c r="N196" i="3"/>
  <c r="N197" i="3" s="1"/>
  <c r="M196" i="3"/>
  <c r="M197" i="3" s="1"/>
  <c r="L196" i="3"/>
  <c r="L197" i="3" s="1"/>
  <c r="K196" i="3"/>
  <c r="K197" i="3" s="1"/>
  <c r="J196" i="3"/>
  <c r="J197" i="3" s="1"/>
  <c r="I196" i="3"/>
  <c r="H196" i="3"/>
  <c r="H197" i="3" s="1"/>
  <c r="G196" i="3"/>
  <c r="G197" i="3" s="1"/>
  <c r="F196" i="3"/>
  <c r="F197" i="3" s="1"/>
  <c r="E196" i="3"/>
  <c r="E197" i="3" s="1"/>
  <c r="D196" i="3"/>
  <c r="D197" i="3" s="1"/>
  <c r="F195" i="3"/>
  <c r="E195" i="3"/>
  <c r="P194" i="3"/>
  <c r="P195" i="3" s="1"/>
  <c r="O194" i="3"/>
  <c r="O195" i="3" s="1"/>
  <c r="N194" i="3"/>
  <c r="N195" i="3" s="1"/>
  <c r="M194" i="3"/>
  <c r="M195" i="3" s="1"/>
  <c r="L194" i="3"/>
  <c r="L195" i="3" s="1"/>
  <c r="K194" i="3"/>
  <c r="K195" i="3" s="1"/>
  <c r="J194" i="3"/>
  <c r="J195" i="3" s="1"/>
  <c r="P159" i="2" s="1"/>
  <c r="I194" i="3"/>
  <c r="I195" i="3" s="1"/>
  <c r="H194" i="3"/>
  <c r="G194" i="3"/>
  <c r="F194" i="3"/>
  <c r="E194" i="3"/>
  <c r="D194" i="3"/>
  <c r="D195" i="3" s="1"/>
  <c r="M193" i="3"/>
  <c r="L193" i="3"/>
  <c r="R157" i="2" s="1"/>
  <c r="H193" i="3"/>
  <c r="P192" i="3"/>
  <c r="P193" i="3" s="1"/>
  <c r="O192" i="3"/>
  <c r="O193" i="3" s="1"/>
  <c r="N192" i="3"/>
  <c r="N193" i="3" s="1"/>
  <c r="M192" i="3"/>
  <c r="L192" i="3"/>
  <c r="K192" i="3"/>
  <c r="K193" i="3" s="1"/>
  <c r="J192" i="3"/>
  <c r="J193" i="3" s="1"/>
  <c r="I192" i="3"/>
  <c r="I193" i="3" s="1"/>
  <c r="H192" i="3"/>
  <c r="G192" i="3"/>
  <c r="G193" i="3" s="1"/>
  <c r="F192" i="3"/>
  <c r="E192" i="3"/>
  <c r="E193" i="3" s="1"/>
  <c r="D192" i="3"/>
  <c r="D193" i="3" s="1"/>
  <c r="O191" i="3"/>
  <c r="L191" i="3"/>
  <c r="K191" i="3"/>
  <c r="P190" i="3"/>
  <c r="P191" i="3" s="1"/>
  <c r="O190" i="3"/>
  <c r="N190" i="3"/>
  <c r="N191" i="3" s="1"/>
  <c r="M190" i="3"/>
  <c r="M191" i="3" s="1"/>
  <c r="L190" i="3"/>
  <c r="K190" i="3"/>
  <c r="J190" i="3"/>
  <c r="J191" i="3" s="1"/>
  <c r="I190" i="3"/>
  <c r="I191" i="3" s="1"/>
  <c r="H190" i="3"/>
  <c r="H191" i="3" s="1"/>
  <c r="G190" i="3"/>
  <c r="G191" i="3" s="1"/>
  <c r="F190" i="3"/>
  <c r="F191" i="3" s="1"/>
  <c r="E190" i="3"/>
  <c r="E191" i="3" s="1"/>
  <c r="D190" i="3"/>
  <c r="D191" i="3" s="1"/>
  <c r="K189" i="3"/>
  <c r="I189" i="3"/>
  <c r="P188" i="3"/>
  <c r="P189" i="3" s="1"/>
  <c r="O188" i="3"/>
  <c r="O189" i="3" s="1"/>
  <c r="N188" i="3"/>
  <c r="N189" i="3" s="1"/>
  <c r="M188" i="3"/>
  <c r="M189" i="3" s="1"/>
  <c r="L188" i="3"/>
  <c r="L189" i="3" s="1"/>
  <c r="K188" i="3"/>
  <c r="J188" i="3"/>
  <c r="J189" i="3" s="1"/>
  <c r="P153" i="2" s="1"/>
  <c r="I188" i="3"/>
  <c r="H188" i="3"/>
  <c r="H189" i="3" s="1"/>
  <c r="G188" i="3"/>
  <c r="G189" i="3" s="1"/>
  <c r="F188" i="3"/>
  <c r="F189" i="3" s="1"/>
  <c r="E188" i="3"/>
  <c r="E189" i="3" s="1"/>
  <c r="D188" i="3"/>
  <c r="X188" i="3" s="1"/>
  <c r="M187" i="3"/>
  <c r="E187" i="3"/>
  <c r="D187" i="3"/>
  <c r="P186" i="3"/>
  <c r="P187" i="3" s="1"/>
  <c r="O186" i="3"/>
  <c r="O187" i="3" s="1"/>
  <c r="N186" i="3"/>
  <c r="N187" i="3" s="1"/>
  <c r="M186" i="3"/>
  <c r="L186" i="3"/>
  <c r="L187" i="3" s="1"/>
  <c r="K186" i="3"/>
  <c r="J186" i="3"/>
  <c r="J187" i="3" s="1"/>
  <c r="I186" i="3"/>
  <c r="I187" i="3" s="1"/>
  <c r="H186" i="3"/>
  <c r="H187" i="3" s="1"/>
  <c r="G186" i="3"/>
  <c r="G187" i="3" s="1"/>
  <c r="F186" i="3"/>
  <c r="F187" i="3" s="1"/>
  <c r="E186" i="3"/>
  <c r="D186" i="3"/>
  <c r="O185" i="3"/>
  <c r="L185" i="3"/>
  <c r="I185" i="3"/>
  <c r="P184" i="3"/>
  <c r="P185" i="3" s="1"/>
  <c r="O184" i="3"/>
  <c r="N184" i="3"/>
  <c r="N185" i="3" s="1"/>
  <c r="M184" i="3"/>
  <c r="M185" i="3" s="1"/>
  <c r="L184" i="3"/>
  <c r="K184" i="3"/>
  <c r="K185" i="3" s="1"/>
  <c r="J184" i="3"/>
  <c r="J185" i="3" s="1"/>
  <c r="I184" i="3"/>
  <c r="H184" i="3"/>
  <c r="H185" i="3" s="1"/>
  <c r="G184" i="3"/>
  <c r="G185" i="3" s="1"/>
  <c r="M149" i="2" s="1"/>
  <c r="F184" i="3"/>
  <c r="F185" i="3" s="1"/>
  <c r="E184" i="3"/>
  <c r="E185" i="3" s="1"/>
  <c r="D184" i="3"/>
  <c r="K183" i="3"/>
  <c r="J183" i="3"/>
  <c r="P182" i="3"/>
  <c r="P183" i="3" s="1"/>
  <c r="O182" i="3"/>
  <c r="O183" i="3" s="1"/>
  <c r="N182" i="3"/>
  <c r="N183" i="3" s="1"/>
  <c r="T147" i="2" s="1"/>
  <c r="M182" i="3"/>
  <c r="M183" i="3" s="1"/>
  <c r="L182" i="3"/>
  <c r="L183" i="3" s="1"/>
  <c r="K182" i="3"/>
  <c r="J182" i="3"/>
  <c r="I182" i="3"/>
  <c r="I183" i="3" s="1"/>
  <c r="H182" i="3"/>
  <c r="H183" i="3" s="1"/>
  <c r="N147" i="2" s="1"/>
  <c r="G182" i="3"/>
  <c r="G183" i="3" s="1"/>
  <c r="F182" i="3"/>
  <c r="F183" i="3" s="1"/>
  <c r="L147" i="2" s="1"/>
  <c r="E182" i="3"/>
  <c r="E183" i="3" s="1"/>
  <c r="D182" i="3"/>
  <c r="J181" i="3"/>
  <c r="I181" i="3"/>
  <c r="P180" i="3"/>
  <c r="P181" i="3" s="1"/>
  <c r="O180" i="3"/>
  <c r="O181" i="3" s="1"/>
  <c r="U145" i="2" s="1"/>
  <c r="N180" i="3"/>
  <c r="N181" i="3" s="1"/>
  <c r="M180" i="3"/>
  <c r="M181" i="3" s="1"/>
  <c r="L180" i="3"/>
  <c r="L181" i="3" s="1"/>
  <c r="K180" i="3"/>
  <c r="K181" i="3" s="1"/>
  <c r="J180" i="3"/>
  <c r="I180" i="3"/>
  <c r="H180" i="3"/>
  <c r="H181" i="3" s="1"/>
  <c r="G180" i="3"/>
  <c r="G181" i="3" s="1"/>
  <c r="M145" i="2" s="1"/>
  <c r="F180" i="3"/>
  <c r="F181" i="3" s="1"/>
  <c r="E180" i="3"/>
  <c r="E181" i="3" s="1"/>
  <c r="K145" i="2" s="1"/>
  <c r="D180" i="3"/>
  <c r="N179" i="3"/>
  <c r="F179" i="3"/>
  <c r="E179" i="3"/>
  <c r="D179" i="3"/>
  <c r="P178" i="3"/>
  <c r="P179" i="3" s="1"/>
  <c r="O178" i="3"/>
  <c r="O179" i="3" s="1"/>
  <c r="N178" i="3"/>
  <c r="M178" i="3"/>
  <c r="M179" i="3" s="1"/>
  <c r="L178" i="3"/>
  <c r="L179" i="3" s="1"/>
  <c r="K178" i="3"/>
  <c r="K179" i="3" s="1"/>
  <c r="J178" i="3"/>
  <c r="J179" i="3" s="1"/>
  <c r="I178" i="3"/>
  <c r="I179" i="3" s="1"/>
  <c r="H178" i="3"/>
  <c r="G178" i="3"/>
  <c r="F178" i="3"/>
  <c r="E178" i="3"/>
  <c r="D178" i="3"/>
  <c r="M177" i="3"/>
  <c r="K177" i="3"/>
  <c r="D177" i="3"/>
  <c r="P176" i="3"/>
  <c r="P177" i="3" s="1"/>
  <c r="V141" i="2" s="1"/>
  <c r="O176" i="3"/>
  <c r="O177" i="3" s="1"/>
  <c r="U141" i="2" s="1"/>
  <c r="N176" i="3"/>
  <c r="N177" i="3" s="1"/>
  <c r="M176" i="3"/>
  <c r="L176" i="3"/>
  <c r="L177" i="3" s="1"/>
  <c r="K176" i="3"/>
  <c r="J176" i="3"/>
  <c r="I176" i="3"/>
  <c r="I177" i="3" s="1"/>
  <c r="H176" i="3"/>
  <c r="H177" i="3" s="1"/>
  <c r="G176" i="3"/>
  <c r="G177" i="3" s="1"/>
  <c r="F176" i="3"/>
  <c r="F177" i="3" s="1"/>
  <c r="E176" i="3"/>
  <c r="E177" i="3" s="1"/>
  <c r="D176" i="3"/>
  <c r="K175" i="3"/>
  <c r="J175" i="3"/>
  <c r="P174" i="3"/>
  <c r="P175" i="3" s="1"/>
  <c r="O174" i="3"/>
  <c r="O175" i="3" s="1"/>
  <c r="N174" i="3"/>
  <c r="N175" i="3" s="1"/>
  <c r="M174" i="3"/>
  <c r="M175" i="3" s="1"/>
  <c r="L174" i="3"/>
  <c r="L175" i="3" s="1"/>
  <c r="R139" i="2" s="1"/>
  <c r="K174" i="3"/>
  <c r="J174" i="3"/>
  <c r="I174" i="3"/>
  <c r="I175" i="3" s="1"/>
  <c r="H174" i="3"/>
  <c r="H175" i="3" s="1"/>
  <c r="G174" i="3"/>
  <c r="G175" i="3" s="1"/>
  <c r="F174" i="3"/>
  <c r="F175" i="3" s="1"/>
  <c r="E174" i="3"/>
  <c r="D174" i="3"/>
  <c r="D175" i="3" s="1"/>
  <c r="J139" i="2" s="1"/>
  <c r="I173" i="3"/>
  <c r="O137" i="2" s="1"/>
  <c r="F173" i="3"/>
  <c r="P172" i="3"/>
  <c r="P173" i="3" s="1"/>
  <c r="O172" i="3"/>
  <c r="O173" i="3" s="1"/>
  <c r="N172" i="3"/>
  <c r="N173" i="3" s="1"/>
  <c r="M172" i="3"/>
  <c r="M173" i="3" s="1"/>
  <c r="L172" i="3"/>
  <c r="L173" i="3" s="1"/>
  <c r="K172" i="3"/>
  <c r="K173" i="3" s="1"/>
  <c r="J172" i="3"/>
  <c r="J173" i="3" s="1"/>
  <c r="P137" i="2" s="1"/>
  <c r="I172" i="3"/>
  <c r="H172" i="3"/>
  <c r="H173" i="3" s="1"/>
  <c r="G172" i="3"/>
  <c r="G173" i="3" s="1"/>
  <c r="F172" i="3"/>
  <c r="E172" i="3"/>
  <c r="D172" i="3"/>
  <c r="J171" i="3"/>
  <c r="H171" i="3"/>
  <c r="P170" i="3"/>
  <c r="P171" i="3" s="1"/>
  <c r="O170" i="3"/>
  <c r="O171" i="3" s="1"/>
  <c r="N170" i="3"/>
  <c r="N171" i="3" s="1"/>
  <c r="M170" i="3"/>
  <c r="M171" i="3" s="1"/>
  <c r="S135" i="2" s="1"/>
  <c r="L170" i="3"/>
  <c r="L171" i="3" s="1"/>
  <c r="R135" i="2" s="1"/>
  <c r="K170" i="3"/>
  <c r="K171" i="3" s="1"/>
  <c r="J170" i="3"/>
  <c r="I170" i="3"/>
  <c r="I171" i="3" s="1"/>
  <c r="O135" i="2" s="1"/>
  <c r="H170" i="3"/>
  <c r="G170" i="3"/>
  <c r="G171" i="3" s="1"/>
  <c r="F170" i="3"/>
  <c r="F171" i="3" s="1"/>
  <c r="E170" i="3"/>
  <c r="E171" i="3" s="1"/>
  <c r="K135" i="2" s="1"/>
  <c r="D170" i="3"/>
  <c r="P169" i="3"/>
  <c r="H169" i="3"/>
  <c r="P168" i="3"/>
  <c r="O168" i="3"/>
  <c r="O169" i="3" s="1"/>
  <c r="N168" i="3"/>
  <c r="N169" i="3" s="1"/>
  <c r="M168" i="3"/>
  <c r="M169" i="3" s="1"/>
  <c r="L168" i="3"/>
  <c r="L169" i="3" s="1"/>
  <c r="K168" i="3"/>
  <c r="K169" i="3" s="1"/>
  <c r="J168" i="3"/>
  <c r="J169" i="3" s="1"/>
  <c r="I168" i="3"/>
  <c r="H168" i="3"/>
  <c r="G168" i="3"/>
  <c r="G169" i="3" s="1"/>
  <c r="F168" i="3"/>
  <c r="F169" i="3" s="1"/>
  <c r="E168" i="3"/>
  <c r="E169" i="3" s="1"/>
  <c r="D168" i="3"/>
  <c r="D169" i="3" s="1"/>
  <c r="N167" i="3"/>
  <c r="P166" i="3"/>
  <c r="P167" i="3" s="1"/>
  <c r="O166" i="3"/>
  <c r="O167" i="3" s="1"/>
  <c r="N166" i="3"/>
  <c r="M166" i="3"/>
  <c r="M167" i="3" s="1"/>
  <c r="L166" i="3"/>
  <c r="L167" i="3" s="1"/>
  <c r="K166" i="3"/>
  <c r="K167" i="3" s="1"/>
  <c r="J166" i="3"/>
  <c r="J167" i="3" s="1"/>
  <c r="I166" i="3"/>
  <c r="I167" i="3" s="1"/>
  <c r="H166" i="3"/>
  <c r="H167" i="3" s="1"/>
  <c r="G166" i="3"/>
  <c r="G167" i="3" s="1"/>
  <c r="F166" i="3"/>
  <c r="F167" i="3" s="1"/>
  <c r="E166" i="3"/>
  <c r="D166" i="3"/>
  <c r="M165" i="3"/>
  <c r="E165" i="3"/>
  <c r="P164" i="3"/>
  <c r="P165" i="3" s="1"/>
  <c r="O164" i="3"/>
  <c r="O165" i="3" s="1"/>
  <c r="N164" i="3"/>
  <c r="N165" i="3" s="1"/>
  <c r="M164" i="3"/>
  <c r="L164" i="3"/>
  <c r="L165" i="3" s="1"/>
  <c r="K164" i="3"/>
  <c r="K165" i="3" s="1"/>
  <c r="J164" i="3"/>
  <c r="J165" i="3" s="1"/>
  <c r="I164" i="3"/>
  <c r="H164" i="3"/>
  <c r="H165" i="3" s="1"/>
  <c r="G164" i="3"/>
  <c r="G165" i="3" s="1"/>
  <c r="F164" i="3"/>
  <c r="F165" i="3" s="1"/>
  <c r="E164" i="3"/>
  <c r="D164" i="3"/>
  <c r="P163" i="3"/>
  <c r="N163" i="3"/>
  <c r="T127" i="2" s="1"/>
  <c r="L163" i="3"/>
  <c r="P162" i="3"/>
  <c r="O162" i="3"/>
  <c r="O163" i="3" s="1"/>
  <c r="N162" i="3"/>
  <c r="M162" i="3"/>
  <c r="M163" i="3" s="1"/>
  <c r="L162" i="3"/>
  <c r="K162" i="3"/>
  <c r="K163" i="3" s="1"/>
  <c r="J162" i="3"/>
  <c r="J163" i="3" s="1"/>
  <c r="P127" i="2" s="1"/>
  <c r="I162" i="3"/>
  <c r="I163" i="3" s="1"/>
  <c r="H162" i="3"/>
  <c r="H163" i="3" s="1"/>
  <c r="G162" i="3"/>
  <c r="G163" i="3" s="1"/>
  <c r="F162" i="3"/>
  <c r="F163" i="3" s="1"/>
  <c r="E162" i="3"/>
  <c r="D162" i="3"/>
  <c r="M161" i="3"/>
  <c r="J161" i="3"/>
  <c r="D161" i="3"/>
  <c r="P160" i="3"/>
  <c r="P161" i="3" s="1"/>
  <c r="O160" i="3"/>
  <c r="O161" i="3" s="1"/>
  <c r="N160" i="3"/>
  <c r="N161" i="3" s="1"/>
  <c r="M160" i="3"/>
  <c r="L160" i="3"/>
  <c r="L161" i="3" s="1"/>
  <c r="K160" i="3"/>
  <c r="K161" i="3" s="1"/>
  <c r="Q125" i="2" s="1"/>
  <c r="J160" i="3"/>
  <c r="I160" i="3"/>
  <c r="I161" i="3" s="1"/>
  <c r="H160" i="3"/>
  <c r="H161" i="3" s="1"/>
  <c r="G160" i="3"/>
  <c r="G161" i="3" s="1"/>
  <c r="F160" i="3"/>
  <c r="F161" i="3" s="1"/>
  <c r="E160" i="3"/>
  <c r="E161" i="3" s="1"/>
  <c r="D160" i="3"/>
  <c r="L159" i="3"/>
  <c r="D159" i="3"/>
  <c r="P158" i="3"/>
  <c r="P159" i="3" s="1"/>
  <c r="O158" i="3"/>
  <c r="O159" i="3" s="1"/>
  <c r="N158" i="3"/>
  <c r="N159" i="3" s="1"/>
  <c r="M158" i="3"/>
  <c r="M159" i="3" s="1"/>
  <c r="L158" i="3"/>
  <c r="K158" i="3"/>
  <c r="K159" i="3" s="1"/>
  <c r="J158" i="3"/>
  <c r="J159" i="3" s="1"/>
  <c r="P123" i="2" s="1"/>
  <c r="I158" i="3"/>
  <c r="I159" i="3" s="1"/>
  <c r="H158" i="3"/>
  <c r="H159" i="3" s="1"/>
  <c r="G158" i="3"/>
  <c r="G159" i="3" s="1"/>
  <c r="F158" i="3"/>
  <c r="E158" i="3"/>
  <c r="D158" i="3"/>
  <c r="J157" i="3"/>
  <c r="I157" i="3"/>
  <c r="H157" i="3"/>
  <c r="P156" i="3"/>
  <c r="P157" i="3" s="1"/>
  <c r="O156" i="3"/>
  <c r="O157" i="3" s="1"/>
  <c r="N156" i="3"/>
  <c r="N157" i="3" s="1"/>
  <c r="M156" i="3"/>
  <c r="M157" i="3" s="1"/>
  <c r="L156" i="3"/>
  <c r="L157" i="3" s="1"/>
  <c r="K156" i="3"/>
  <c r="K157" i="3" s="1"/>
  <c r="Q121" i="2" s="1"/>
  <c r="J156" i="3"/>
  <c r="I156" i="3"/>
  <c r="H156" i="3"/>
  <c r="G156" i="3"/>
  <c r="G157" i="3" s="1"/>
  <c r="F156" i="3"/>
  <c r="F157" i="3" s="1"/>
  <c r="E156" i="3"/>
  <c r="E157" i="3" s="1"/>
  <c r="D156" i="3"/>
  <c r="V156" i="3" s="1"/>
  <c r="P155" i="3"/>
  <c r="P154" i="3"/>
  <c r="O154" i="3"/>
  <c r="O155" i="3" s="1"/>
  <c r="N154" i="3"/>
  <c r="N155" i="3" s="1"/>
  <c r="M154" i="3"/>
  <c r="M155" i="3" s="1"/>
  <c r="L154" i="3"/>
  <c r="L155" i="3" s="1"/>
  <c r="K154" i="3"/>
  <c r="K155" i="3" s="1"/>
  <c r="Q119" i="2" s="1"/>
  <c r="J154" i="3"/>
  <c r="J155" i="3" s="1"/>
  <c r="I154" i="3"/>
  <c r="I155" i="3" s="1"/>
  <c r="H154" i="3"/>
  <c r="H155" i="3" s="1"/>
  <c r="G154" i="3"/>
  <c r="G155" i="3" s="1"/>
  <c r="F154" i="3"/>
  <c r="F155" i="3" s="1"/>
  <c r="E154" i="3"/>
  <c r="D154" i="3"/>
  <c r="J153" i="3"/>
  <c r="I153" i="3"/>
  <c r="P152" i="3"/>
  <c r="P153" i="3" s="1"/>
  <c r="V117" i="2" s="1"/>
  <c r="O152" i="3"/>
  <c r="O153" i="3" s="1"/>
  <c r="U117" i="2" s="1"/>
  <c r="N152" i="3"/>
  <c r="N153" i="3" s="1"/>
  <c r="T117" i="2" s="1"/>
  <c r="M152" i="3"/>
  <c r="M153" i="3" s="1"/>
  <c r="L152" i="3"/>
  <c r="L153" i="3" s="1"/>
  <c r="K152" i="3"/>
  <c r="K153" i="3" s="1"/>
  <c r="J152" i="3"/>
  <c r="I152" i="3"/>
  <c r="H152" i="3"/>
  <c r="H153" i="3" s="1"/>
  <c r="G152" i="3"/>
  <c r="G153" i="3" s="1"/>
  <c r="F152" i="3"/>
  <c r="F153" i="3" s="1"/>
  <c r="E152" i="3"/>
  <c r="E153" i="3" s="1"/>
  <c r="D152" i="3"/>
  <c r="P150" i="3"/>
  <c r="P151" i="3" s="1"/>
  <c r="O150" i="3"/>
  <c r="O151" i="3" s="1"/>
  <c r="N150" i="3"/>
  <c r="N151" i="3" s="1"/>
  <c r="M150" i="3"/>
  <c r="M151" i="3" s="1"/>
  <c r="L150" i="3"/>
  <c r="L151" i="3" s="1"/>
  <c r="K150" i="3"/>
  <c r="K151" i="3" s="1"/>
  <c r="J150" i="3"/>
  <c r="J151" i="3" s="1"/>
  <c r="I150" i="3"/>
  <c r="I151" i="3" s="1"/>
  <c r="H150" i="3"/>
  <c r="H151" i="3" s="1"/>
  <c r="G150" i="3"/>
  <c r="F150" i="3"/>
  <c r="F151" i="3" s="1"/>
  <c r="E150" i="3"/>
  <c r="E151" i="3" s="1"/>
  <c r="K115" i="2" s="1"/>
  <c r="D150" i="3"/>
  <c r="P148" i="3"/>
  <c r="P149" i="3" s="1"/>
  <c r="O148" i="3"/>
  <c r="O149" i="3" s="1"/>
  <c r="U113" i="2" s="1"/>
  <c r="N148" i="3"/>
  <c r="N149" i="3" s="1"/>
  <c r="M148" i="3"/>
  <c r="M149" i="3" s="1"/>
  <c r="L148" i="3"/>
  <c r="L149" i="3" s="1"/>
  <c r="K148" i="3"/>
  <c r="K149" i="3" s="1"/>
  <c r="J148" i="3"/>
  <c r="J149" i="3" s="1"/>
  <c r="I148" i="3"/>
  <c r="I149" i="3" s="1"/>
  <c r="H148" i="3"/>
  <c r="H149" i="3" s="1"/>
  <c r="N113" i="2" s="1"/>
  <c r="G148" i="3"/>
  <c r="G149" i="3" s="1"/>
  <c r="F148" i="3"/>
  <c r="E148" i="3"/>
  <c r="E149" i="3" s="1"/>
  <c r="D148" i="3"/>
  <c r="D149" i="3" s="1"/>
  <c r="M147" i="3"/>
  <c r="F147" i="3"/>
  <c r="P146" i="3"/>
  <c r="P147" i="3" s="1"/>
  <c r="O146" i="3"/>
  <c r="O147" i="3" s="1"/>
  <c r="N146" i="3"/>
  <c r="N147" i="3" s="1"/>
  <c r="M146" i="3"/>
  <c r="L146" i="3"/>
  <c r="L147" i="3" s="1"/>
  <c r="K146" i="3"/>
  <c r="K147" i="3" s="1"/>
  <c r="Q111" i="2" s="1"/>
  <c r="J146" i="3"/>
  <c r="J147" i="3" s="1"/>
  <c r="I146" i="3"/>
  <c r="I147" i="3" s="1"/>
  <c r="H146" i="3"/>
  <c r="H147" i="3" s="1"/>
  <c r="G146" i="3"/>
  <c r="G147" i="3" s="1"/>
  <c r="M111" i="2" s="1"/>
  <c r="F146" i="3"/>
  <c r="E146" i="3"/>
  <c r="E147" i="3" s="1"/>
  <c r="D146" i="3"/>
  <c r="N145" i="3"/>
  <c r="M145" i="3"/>
  <c r="E145" i="3"/>
  <c r="P144" i="3"/>
  <c r="P145" i="3" s="1"/>
  <c r="O144" i="3"/>
  <c r="O145" i="3" s="1"/>
  <c r="N144" i="3"/>
  <c r="M144" i="3"/>
  <c r="L144" i="3"/>
  <c r="L145" i="3" s="1"/>
  <c r="K144" i="3"/>
  <c r="K145" i="3" s="1"/>
  <c r="J144" i="3"/>
  <c r="J145" i="3" s="1"/>
  <c r="P109" i="2" s="1"/>
  <c r="I144" i="3"/>
  <c r="I145" i="3" s="1"/>
  <c r="H144" i="3"/>
  <c r="H145" i="3" s="1"/>
  <c r="G144" i="3"/>
  <c r="G145" i="3" s="1"/>
  <c r="F144" i="3"/>
  <c r="F145" i="3" s="1"/>
  <c r="E144" i="3"/>
  <c r="D144" i="3"/>
  <c r="M143" i="3"/>
  <c r="L143" i="3"/>
  <c r="I143" i="3"/>
  <c r="D143" i="3"/>
  <c r="P142" i="3"/>
  <c r="P143" i="3" s="1"/>
  <c r="O142" i="3"/>
  <c r="O143" i="3" s="1"/>
  <c r="N142" i="3"/>
  <c r="N143" i="3" s="1"/>
  <c r="M142" i="3"/>
  <c r="L142" i="3"/>
  <c r="K142" i="3"/>
  <c r="J142" i="3"/>
  <c r="J143" i="3" s="1"/>
  <c r="I142" i="3"/>
  <c r="H142" i="3"/>
  <c r="H143" i="3" s="1"/>
  <c r="G142" i="3"/>
  <c r="G143" i="3" s="1"/>
  <c r="F142" i="3"/>
  <c r="F143" i="3" s="1"/>
  <c r="E142" i="3"/>
  <c r="D142" i="3"/>
  <c r="P140" i="3"/>
  <c r="P141" i="3" s="1"/>
  <c r="V105" i="2" s="1"/>
  <c r="O140" i="3"/>
  <c r="O141" i="3" s="1"/>
  <c r="N140" i="3"/>
  <c r="N141" i="3" s="1"/>
  <c r="M140" i="3"/>
  <c r="M141" i="3" s="1"/>
  <c r="L140" i="3"/>
  <c r="L141" i="3" s="1"/>
  <c r="K140" i="3"/>
  <c r="K141" i="3" s="1"/>
  <c r="J140" i="3"/>
  <c r="J141" i="3" s="1"/>
  <c r="I140" i="3"/>
  <c r="I141" i="3" s="1"/>
  <c r="H140" i="3"/>
  <c r="H141" i="3" s="1"/>
  <c r="G140" i="3"/>
  <c r="G141" i="3" s="1"/>
  <c r="F140" i="3"/>
  <c r="F141" i="3" s="1"/>
  <c r="E140" i="3"/>
  <c r="D140" i="3"/>
  <c r="P138" i="3"/>
  <c r="P139" i="3" s="1"/>
  <c r="O138" i="3"/>
  <c r="O139" i="3" s="1"/>
  <c r="N138" i="3"/>
  <c r="N139" i="3" s="1"/>
  <c r="M138" i="3"/>
  <c r="M139" i="3" s="1"/>
  <c r="L138" i="3"/>
  <c r="L139" i="3" s="1"/>
  <c r="K138" i="3"/>
  <c r="K139" i="3" s="1"/>
  <c r="J138" i="3"/>
  <c r="J139" i="3" s="1"/>
  <c r="I138" i="3"/>
  <c r="T138" i="3" s="1"/>
  <c r="H138" i="3"/>
  <c r="H139" i="3" s="1"/>
  <c r="G138" i="3"/>
  <c r="G139" i="3" s="1"/>
  <c r="F138" i="3"/>
  <c r="F139" i="3" s="1"/>
  <c r="E138" i="3"/>
  <c r="E139" i="3" s="1"/>
  <c r="D138" i="3"/>
  <c r="N137" i="3"/>
  <c r="I137" i="3"/>
  <c r="P136" i="3"/>
  <c r="P137" i="3" s="1"/>
  <c r="V101" i="2" s="1"/>
  <c r="O136" i="3"/>
  <c r="O137" i="3" s="1"/>
  <c r="N136" i="3"/>
  <c r="M136" i="3"/>
  <c r="M137" i="3" s="1"/>
  <c r="L136" i="3"/>
  <c r="L137" i="3" s="1"/>
  <c r="K136" i="3"/>
  <c r="K137" i="3" s="1"/>
  <c r="J136" i="3"/>
  <c r="I136" i="3"/>
  <c r="H136" i="3"/>
  <c r="H137" i="3" s="1"/>
  <c r="N101" i="2" s="1"/>
  <c r="G136" i="3"/>
  <c r="G137" i="3" s="1"/>
  <c r="F136" i="3"/>
  <c r="F137" i="3" s="1"/>
  <c r="E136" i="3"/>
  <c r="E137" i="3" s="1"/>
  <c r="D136" i="3"/>
  <c r="J135" i="3"/>
  <c r="I135" i="3"/>
  <c r="P134" i="3"/>
  <c r="P135" i="3" s="1"/>
  <c r="V99" i="2" s="1"/>
  <c r="O134" i="3"/>
  <c r="O135" i="3" s="1"/>
  <c r="U99" i="2" s="1"/>
  <c r="N134" i="3"/>
  <c r="N135" i="3" s="1"/>
  <c r="M134" i="3"/>
  <c r="M135" i="3" s="1"/>
  <c r="L134" i="3"/>
  <c r="L135" i="3" s="1"/>
  <c r="K134" i="3"/>
  <c r="K135" i="3" s="1"/>
  <c r="J134" i="3"/>
  <c r="I134" i="3"/>
  <c r="H134" i="3"/>
  <c r="H135" i="3" s="1"/>
  <c r="G134" i="3"/>
  <c r="G135" i="3" s="1"/>
  <c r="F134" i="3"/>
  <c r="F135" i="3" s="1"/>
  <c r="E134" i="3"/>
  <c r="E135" i="3" s="1"/>
  <c r="D134" i="3"/>
  <c r="P132" i="3"/>
  <c r="P133" i="3" s="1"/>
  <c r="V97" i="2" s="1"/>
  <c r="O132" i="3"/>
  <c r="O133" i="3" s="1"/>
  <c r="N132" i="3"/>
  <c r="N133" i="3" s="1"/>
  <c r="M132" i="3"/>
  <c r="M133" i="3" s="1"/>
  <c r="L132" i="3"/>
  <c r="L133" i="3" s="1"/>
  <c r="K132" i="3"/>
  <c r="K133" i="3" s="1"/>
  <c r="J132" i="3"/>
  <c r="J133" i="3" s="1"/>
  <c r="I132" i="3"/>
  <c r="I133" i="3" s="1"/>
  <c r="H132" i="3"/>
  <c r="AB132" i="3" s="1"/>
  <c r="G132" i="3"/>
  <c r="G133" i="3" s="1"/>
  <c r="F132" i="3"/>
  <c r="F133" i="3" s="1"/>
  <c r="L97" i="2" s="1"/>
  <c r="E132" i="3"/>
  <c r="E133" i="3" s="1"/>
  <c r="D132" i="3"/>
  <c r="M131" i="3"/>
  <c r="H131" i="3"/>
  <c r="F131" i="3"/>
  <c r="L95" i="2" s="1"/>
  <c r="P130" i="3"/>
  <c r="P131" i="3" s="1"/>
  <c r="O130" i="3"/>
  <c r="O131" i="3" s="1"/>
  <c r="N130" i="3"/>
  <c r="N131" i="3" s="1"/>
  <c r="T95" i="2" s="1"/>
  <c r="M130" i="3"/>
  <c r="L130" i="3"/>
  <c r="L131" i="3" s="1"/>
  <c r="K130" i="3"/>
  <c r="K131" i="3" s="1"/>
  <c r="J130" i="3"/>
  <c r="J131" i="3" s="1"/>
  <c r="I130" i="3"/>
  <c r="I131" i="3" s="1"/>
  <c r="H130" i="3"/>
  <c r="G130" i="3"/>
  <c r="G131" i="3" s="1"/>
  <c r="F130" i="3"/>
  <c r="E130" i="3"/>
  <c r="E131" i="3" s="1"/>
  <c r="D130" i="3"/>
  <c r="D131" i="3" s="1"/>
  <c r="O129" i="3"/>
  <c r="E129" i="3"/>
  <c r="D129" i="3"/>
  <c r="P128" i="3"/>
  <c r="P129" i="3" s="1"/>
  <c r="O128" i="3"/>
  <c r="N128" i="3"/>
  <c r="N129" i="3" s="1"/>
  <c r="M128" i="3"/>
  <c r="M129" i="3" s="1"/>
  <c r="L128" i="3"/>
  <c r="L129" i="3" s="1"/>
  <c r="K128" i="3"/>
  <c r="K129" i="3" s="1"/>
  <c r="J128" i="3"/>
  <c r="J129" i="3" s="1"/>
  <c r="I128" i="3"/>
  <c r="I129" i="3" s="1"/>
  <c r="H128" i="3"/>
  <c r="H129" i="3" s="1"/>
  <c r="G128" i="3"/>
  <c r="G129" i="3" s="1"/>
  <c r="F128" i="3"/>
  <c r="E128" i="3"/>
  <c r="D128" i="3"/>
  <c r="Z128" i="3" s="1"/>
  <c r="M127" i="3"/>
  <c r="P126" i="3"/>
  <c r="P127" i="3" s="1"/>
  <c r="O126" i="3"/>
  <c r="O127" i="3" s="1"/>
  <c r="N126" i="3"/>
  <c r="N127" i="3" s="1"/>
  <c r="M126" i="3"/>
  <c r="L126" i="3"/>
  <c r="L127" i="3" s="1"/>
  <c r="K126" i="3"/>
  <c r="K127" i="3" s="1"/>
  <c r="J126" i="3"/>
  <c r="J127" i="3" s="1"/>
  <c r="I126" i="3"/>
  <c r="I127" i="3" s="1"/>
  <c r="H126" i="3"/>
  <c r="H127" i="3" s="1"/>
  <c r="G126" i="3"/>
  <c r="G127" i="3" s="1"/>
  <c r="F126" i="3"/>
  <c r="F127" i="3" s="1"/>
  <c r="E126" i="3"/>
  <c r="D126" i="3"/>
  <c r="D127" i="3" s="1"/>
  <c r="J125" i="3"/>
  <c r="P124" i="3"/>
  <c r="P125" i="3" s="1"/>
  <c r="O124" i="3"/>
  <c r="O125" i="3" s="1"/>
  <c r="N124" i="3"/>
  <c r="N125" i="3" s="1"/>
  <c r="M124" i="3"/>
  <c r="M125" i="3" s="1"/>
  <c r="S89" i="2" s="1"/>
  <c r="L124" i="3"/>
  <c r="L125" i="3" s="1"/>
  <c r="K124" i="3"/>
  <c r="K125" i="3" s="1"/>
  <c r="J124" i="3"/>
  <c r="I124" i="3"/>
  <c r="I125" i="3" s="1"/>
  <c r="H124" i="3"/>
  <c r="H125" i="3" s="1"/>
  <c r="G124" i="3"/>
  <c r="G125" i="3" s="1"/>
  <c r="F124" i="3"/>
  <c r="F125" i="3" s="1"/>
  <c r="E124" i="3"/>
  <c r="E125" i="3" s="1"/>
  <c r="D124" i="3"/>
  <c r="J123" i="3"/>
  <c r="P122" i="3"/>
  <c r="P123" i="3" s="1"/>
  <c r="O122" i="3"/>
  <c r="O123" i="3" s="1"/>
  <c r="N122" i="3"/>
  <c r="N123" i="3" s="1"/>
  <c r="T87" i="2" s="1"/>
  <c r="M122" i="3"/>
  <c r="M123" i="3" s="1"/>
  <c r="L122" i="3"/>
  <c r="L123" i="3" s="1"/>
  <c r="K122" i="3"/>
  <c r="K123" i="3" s="1"/>
  <c r="J122" i="3"/>
  <c r="I122" i="3"/>
  <c r="I123" i="3" s="1"/>
  <c r="H122" i="3"/>
  <c r="H123" i="3" s="1"/>
  <c r="G122" i="3"/>
  <c r="G123" i="3" s="1"/>
  <c r="F122" i="3"/>
  <c r="F123" i="3" s="1"/>
  <c r="L87" i="2" s="1"/>
  <c r="E122" i="3"/>
  <c r="D122" i="3"/>
  <c r="D123" i="3" s="1"/>
  <c r="P120" i="3"/>
  <c r="P121" i="3" s="1"/>
  <c r="O120" i="3"/>
  <c r="O121" i="3" s="1"/>
  <c r="N120" i="3"/>
  <c r="N121" i="3" s="1"/>
  <c r="T85" i="2" s="1"/>
  <c r="M120" i="3"/>
  <c r="M121" i="3" s="1"/>
  <c r="L120" i="3"/>
  <c r="L121" i="3" s="1"/>
  <c r="K120" i="3"/>
  <c r="K121" i="3" s="1"/>
  <c r="J120" i="3"/>
  <c r="I120" i="3"/>
  <c r="I121" i="3" s="1"/>
  <c r="H120" i="3"/>
  <c r="H121" i="3" s="1"/>
  <c r="G120" i="3"/>
  <c r="G121" i="3" s="1"/>
  <c r="F120" i="3"/>
  <c r="F121" i="3" s="1"/>
  <c r="E120" i="3"/>
  <c r="E121" i="3" s="1"/>
  <c r="D120" i="3"/>
  <c r="O119" i="3"/>
  <c r="K119" i="3"/>
  <c r="P118" i="3"/>
  <c r="P119" i="3" s="1"/>
  <c r="V83" i="2" s="1"/>
  <c r="O118" i="3"/>
  <c r="N118" i="3"/>
  <c r="N119" i="3" s="1"/>
  <c r="M118" i="3"/>
  <c r="M119" i="3" s="1"/>
  <c r="L118" i="3"/>
  <c r="L119" i="3" s="1"/>
  <c r="K118" i="3"/>
  <c r="J118" i="3"/>
  <c r="J119" i="3" s="1"/>
  <c r="P83" i="2" s="1"/>
  <c r="I118" i="3"/>
  <c r="I119" i="3" s="1"/>
  <c r="H118" i="3"/>
  <c r="H119" i="3" s="1"/>
  <c r="N83" i="2" s="1"/>
  <c r="G118" i="3"/>
  <c r="G119" i="3" s="1"/>
  <c r="F118" i="3"/>
  <c r="F119" i="3" s="1"/>
  <c r="E118" i="3"/>
  <c r="D118" i="3"/>
  <c r="N117" i="3"/>
  <c r="J117" i="3"/>
  <c r="I117" i="3"/>
  <c r="H117" i="3"/>
  <c r="P116" i="3"/>
  <c r="P117" i="3" s="1"/>
  <c r="O116" i="3"/>
  <c r="O117" i="3" s="1"/>
  <c r="U81" i="2" s="1"/>
  <c r="N116" i="3"/>
  <c r="M116" i="3"/>
  <c r="M117" i="3" s="1"/>
  <c r="L116" i="3"/>
  <c r="L117" i="3" s="1"/>
  <c r="K116" i="3"/>
  <c r="K117" i="3" s="1"/>
  <c r="J116" i="3"/>
  <c r="I116" i="3"/>
  <c r="H116" i="3"/>
  <c r="G116" i="3"/>
  <c r="G117" i="3" s="1"/>
  <c r="F116" i="3"/>
  <c r="F117" i="3" s="1"/>
  <c r="E116" i="3"/>
  <c r="E117" i="3" s="1"/>
  <c r="D116" i="3"/>
  <c r="P115" i="3"/>
  <c r="N115" i="3"/>
  <c r="G115" i="3"/>
  <c r="F115" i="3"/>
  <c r="E115" i="3"/>
  <c r="P114" i="3"/>
  <c r="O114" i="3"/>
  <c r="O115" i="3" s="1"/>
  <c r="N114" i="3"/>
  <c r="M114" i="3"/>
  <c r="M115" i="3" s="1"/>
  <c r="L114" i="3"/>
  <c r="L115" i="3" s="1"/>
  <c r="R79" i="2" s="1"/>
  <c r="K114" i="3"/>
  <c r="K115" i="3" s="1"/>
  <c r="J114" i="3"/>
  <c r="J115" i="3" s="1"/>
  <c r="I114" i="3"/>
  <c r="H114" i="3"/>
  <c r="H115" i="3" s="1"/>
  <c r="G114" i="3"/>
  <c r="F114" i="3"/>
  <c r="E114" i="3"/>
  <c r="D114" i="3"/>
  <c r="O113" i="3"/>
  <c r="M113" i="3"/>
  <c r="L113" i="3"/>
  <c r="D113" i="3"/>
  <c r="P112" i="3"/>
  <c r="P113" i="3" s="1"/>
  <c r="V77" i="2" s="1"/>
  <c r="O112" i="3"/>
  <c r="N112" i="3"/>
  <c r="N113" i="3" s="1"/>
  <c r="M112" i="3"/>
  <c r="L112" i="3"/>
  <c r="K112" i="3"/>
  <c r="K113" i="3" s="1"/>
  <c r="J112" i="3"/>
  <c r="J113" i="3" s="1"/>
  <c r="I112" i="3"/>
  <c r="I113" i="3" s="1"/>
  <c r="H112" i="3"/>
  <c r="H113" i="3" s="1"/>
  <c r="G112" i="3"/>
  <c r="F112" i="3"/>
  <c r="F113" i="3" s="1"/>
  <c r="E112" i="3"/>
  <c r="E113" i="3" s="1"/>
  <c r="D112" i="3"/>
  <c r="M111" i="3"/>
  <c r="L111" i="3"/>
  <c r="K111" i="3"/>
  <c r="P110" i="3"/>
  <c r="P111" i="3" s="1"/>
  <c r="V75" i="2" s="1"/>
  <c r="O110" i="3"/>
  <c r="O111" i="3" s="1"/>
  <c r="N110" i="3"/>
  <c r="N111" i="3" s="1"/>
  <c r="M110" i="3"/>
  <c r="L110" i="3"/>
  <c r="K110" i="3"/>
  <c r="J110" i="3"/>
  <c r="J111" i="3" s="1"/>
  <c r="I110" i="3"/>
  <c r="I111" i="3" s="1"/>
  <c r="H110" i="3"/>
  <c r="H111" i="3" s="1"/>
  <c r="N75" i="2" s="1"/>
  <c r="G110" i="3"/>
  <c r="G111" i="3" s="1"/>
  <c r="F110" i="3"/>
  <c r="F111" i="3" s="1"/>
  <c r="E110" i="3"/>
  <c r="D110" i="3"/>
  <c r="F109" i="3"/>
  <c r="E109" i="3"/>
  <c r="D109" i="3"/>
  <c r="J73" i="2" s="1"/>
  <c r="P108" i="3"/>
  <c r="P109" i="3" s="1"/>
  <c r="V73" i="2" s="1"/>
  <c r="O108" i="3"/>
  <c r="O109" i="3" s="1"/>
  <c r="N108" i="3"/>
  <c r="N109" i="3" s="1"/>
  <c r="M108" i="3"/>
  <c r="M109" i="3" s="1"/>
  <c r="L108" i="3"/>
  <c r="L109" i="3" s="1"/>
  <c r="K108" i="3"/>
  <c r="K109" i="3" s="1"/>
  <c r="J108" i="3"/>
  <c r="J109" i="3" s="1"/>
  <c r="I108" i="3"/>
  <c r="I109" i="3" s="1"/>
  <c r="H108" i="3"/>
  <c r="H109" i="3" s="1"/>
  <c r="N73" i="2" s="1"/>
  <c r="G108" i="3"/>
  <c r="G109" i="3" s="1"/>
  <c r="F108" i="3"/>
  <c r="E108" i="3"/>
  <c r="D108" i="3"/>
  <c r="K107" i="3"/>
  <c r="J107" i="3"/>
  <c r="P106" i="3"/>
  <c r="P107" i="3" s="1"/>
  <c r="O106" i="3"/>
  <c r="O107" i="3" s="1"/>
  <c r="N106" i="3"/>
  <c r="N107" i="3" s="1"/>
  <c r="M106" i="3"/>
  <c r="M107" i="3" s="1"/>
  <c r="S71" i="2" s="1"/>
  <c r="L106" i="3"/>
  <c r="L107" i="3" s="1"/>
  <c r="R71" i="2" s="1"/>
  <c r="K106" i="3"/>
  <c r="J106" i="3"/>
  <c r="I106" i="3"/>
  <c r="I107" i="3" s="1"/>
  <c r="H106" i="3"/>
  <c r="H107" i="3" s="1"/>
  <c r="G106" i="3"/>
  <c r="G107" i="3" s="1"/>
  <c r="F106" i="3"/>
  <c r="F107" i="3" s="1"/>
  <c r="E106" i="3"/>
  <c r="E107" i="3" s="1"/>
  <c r="D106" i="3"/>
  <c r="P105" i="3"/>
  <c r="H105" i="3"/>
  <c r="P104" i="3"/>
  <c r="O104" i="3"/>
  <c r="O105" i="3" s="1"/>
  <c r="N104" i="3"/>
  <c r="N105" i="3" s="1"/>
  <c r="M104" i="3"/>
  <c r="M105" i="3" s="1"/>
  <c r="L104" i="3"/>
  <c r="L105" i="3" s="1"/>
  <c r="K104" i="3"/>
  <c r="K105" i="3" s="1"/>
  <c r="J104" i="3"/>
  <c r="J105" i="3" s="1"/>
  <c r="I104" i="3"/>
  <c r="I105" i="3" s="1"/>
  <c r="O69" i="2" s="1"/>
  <c r="H104" i="3"/>
  <c r="G104" i="3"/>
  <c r="G105" i="3" s="1"/>
  <c r="F104" i="3"/>
  <c r="F105" i="3" s="1"/>
  <c r="E104" i="3"/>
  <c r="E105" i="3" s="1"/>
  <c r="D104" i="3"/>
  <c r="P103" i="3"/>
  <c r="O103" i="3"/>
  <c r="K103" i="3"/>
  <c r="Q67" i="2" s="1"/>
  <c r="P102" i="3"/>
  <c r="O102" i="3"/>
  <c r="N102" i="3"/>
  <c r="N103" i="3" s="1"/>
  <c r="M102" i="3"/>
  <c r="M103" i="3" s="1"/>
  <c r="L102" i="3"/>
  <c r="L103" i="3" s="1"/>
  <c r="K102" i="3"/>
  <c r="J102" i="3"/>
  <c r="J103" i="3" s="1"/>
  <c r="I102" i="3"/>
  <c r="I103" i="3" s="1"/>
  <c r="H102" i="3"/>
  <c r="H103" i="3" s="1"/>
  <c r="G102" i="3"/>
  <c r="F102" i="3"/>
  <c r="F103" i="3" s="1"/>
  <c r="E102" i="3"/>
  <c r="E103" i="3" s="1"/>
  <c r="D102" i="3"/>
  <c r="O101" i="3"/>
  <c r="N101" i="3"/>
  <c r="P100" i="3"/>
  <c r="P101" i="3" s="1"/>
  <c r="O100" i="3"/>
  <c r="N100" i="3"/>
  <c r="M100" i="3"/>
  <c r="M101" i="3" s="1"/>
  <c r="L100" i="3"/>
  <c r="L101" i="3" s="1"/>
  <c r="K100" i="3"/>
  <c r="K101" i="3" s="1"/>
  <c r="J100" i="3"/>
  <c r="J101" i="3" s="1"/>
  <c r="I100" i="3"/>
  <c r="I101" i="3" s="1"/>
  <c r="H100" i="3"/>
  <c r="H101" i="3" s="1"/>
  <c r="G100" i="3"/>
  <c r="G101" i="3" s="1"/>
  <c r="M65" i="2" s="1"/>
  <c r="F100" i="3"/>
  <c r="E100" i="3"/>
  <c r="E101" i="3" s="1"/>
  <c r="D100" i="3"/>
  <c r="D101" i="3" s="1"/>
  <c r="J65" i="2" s="1"/>
  <c r="L99" i="3"/>
  <c r="D99" i="3"/>
  <c r="P98" i="3"/>
  <c r="P99" i="3" s="1"/>
  <c r="O98" i="3"/>
  <c r="O99" i="3" s="1"/>
  <c r="N98" i="3"/>
  <c r="N99" i="3" s="1"/>
  <c r="T63" i="2" s="1"/>
  <c r="M98" i="3"/>
  <c r="M99" i="3" s="1"/>
  <c r="S63" i="2" s="1"/>
  <c r="L98" i="3"/>
  <c r="K98" i="3"/>
  <c r="K99" i="3" s="1"/>
  <c r="J98" i="3"/>
  <c r="J99" i="3" s="1"/>
  <c r="I98" i="3"/>
  <c r="I99" i="3" s="1"/>
  <c r="H98" i="3"/>
  <c r="H99" i="3" s="1"/>
  <c r="G98" i="3"/>
  <c r="G99" i="3" s="1"/>
  <c r="F98" i="3"/>
  <c r="F99" i="3" s="1"/>
  <c r="L63" i="2" s="1"/>
  <c r="E98" i="3"/>
  <c r="D98" i="3"/>
  <c r="K97" i="3"/>
  <c r="D97" i="3"/>
  <c r="P96" i="3"/>
  <c r="P97" i="3" s="1"/>
  <c r="O96" i="3"/>
  <c r="O97" i="3" s="1"/>
  <c r="N96" i="3"/>
  <c r="N97" i="3" s="1"/>
  <c r="M96" i="3"/>
  <c r="M97" i="3" s="1"/>
  <c r="S61" i="2" s="1"/>
  <c r="L96" i="3"/>
  <c r="L97" i="3" s="1"/>
  <c r="R61" i="2" s="1"/>
  <c r="K96" i="3"/>
  <c r="J96" i="3"/>
  <c r="J97" i="3" s="1"/>
  <c r="I96" i="3"/>
  <c r="I97" i="3" s="1"/>
  <c r="H96" i="3"/>
  <c r="H97" i="3" s="1"/>
  <c r="G96" i="3"/>
  <c r="G97" i="3" s="1"/>
  <c r="F96" i="3"/>
  <c r="F97" i="3" s="1"/>
  <c r="E96" i="3"/>
  <c r="E97" i="3" s="1"/>
  <c r="K61" i="2" s="1"/>
  <c r="D96" i="3"/>
  <c r="I95" i="3"/>
  <c r="D95" i="3"/>
  <c r="P94" i="3"/>
  <c r="P95" i="3" s="1"/>
  <c r="O94" i="3"/>
  <c r="O95" i="3" s="1"/>
  <c r="N94" i="3"/>
  <c r="N95" i="3" s="1"/>
  <c r="M94" i="3"/>
  <c r="M95" i="3" s="1"/>
  <c r="L94" i="3"/>
  <c r="L95" i="3" s="1"/>
  <c r="R59" i="2" s="1"/>
  <c r="K94" i="3"/>
  <c r="K95" i="3" s="1"/>
  <c r="Q59" i="2" s="1"/>
  <c r="J94" i="3"/>
  <c r="J95" i="3" s="1"/>
  <c r="P59" i="2" s="1"/>
  <c r="I94" i="3"/>
  <c r="H94" i="3"/>
  <c r="H95" i="3" s="1"/>
  <c r="G94" i="3"/>
  <c r="G95" i="3" s="1"/>
  <c r="F94" i="3"/>
  <c r="F95" i="3" s="1"/>
  <c r="E94" i="3"/>
  <c r="E95" i="3" s="1"/>
  <c r="D94" i="3"/>
  <c r="P93" i="3"/>
  <c r="I93" i="3"/>
  <c r="O57" i="2" s="1"/>
  <c r="P92" i="3"/>
  <c r="O92" i="3"/>
  <c r="O93" i="3" s="1"/>
  <c r="N92" i="3"/>
  <c r="N93" i="3" s="1"/>
  <c r="M92" i="3"/>
  <c r="M93" i="3" s="1"/>
  <c r="L92" i="3"/>
  <c r="L93" i="3" s="1"/>
  <c r="K92" i="3"/>
  <c r="K93" i="3" s="1"/>
  <c r="Q57" i="2" s="1"/>
  <c r="J92" i="3"/>
  <c r="J93" i="3" s="1"/>
  <c r="P57" i="2" s="1"/>
  <c r="I92" i="3"/>
  <c r="H92" i="3"/>
  <c r="H93" i="3" s="1"/>
  <c r="N57" i="2" s="1"/>
  <c r="G92" i="3"/>
  <c r="G93" i="3" s="1"/>
  <c r="F92" i="3"/>
  <c r="F93" i="3" s="1"/>
  <c r="E92" i="3"/>
  <c r="E93" i="3" s="1"/>
  <c r="D92" i="3"/>
  <c r="O91" i="3"/>
  <c r="G91" i="3"/>
  <c r="P90" i="3"/>
  <c r="P91" i="3" s="1"/>
  <c r="V55" i="2" s="1"/>
  <c r="O90" i="3"/>
  <c r="N90" i="3"/>
  <c r="N91" i="3" s="1"/>
  <c r="M90" i="3"/>
  <c r="M91" i="3" s="1"/>
  <c r="L90" i="3"/>
  <c r="L91" i="3" s="1"/>
  <c r="K90" i="3"/>
  <c r="K91" i="3" s="1"/>
  <c r="J90" i="3"/>
  <c r="J91" i="3" s="1"/>
  <c r="I90" i="3"/>
  <c r="I91" i="3" s="1"/>
  <c r="O55" i="2" s="1"/>
  <c r="H90" i="3"/>
  <c r="H91" i="3" s="1"/>
  <c r="N55" i="2" s="1"/>
  <c r="G90" i="3"/>
  <c r="F90" i="3"/>
  <c r="F91" i="3" s="1"/>
  <c r="E90" i="3"/>
  <c r="E91" i="3" s="1"/>
  <c r="D90" i="3"/>
  <c r="N89" i="3"/>
  <c r="F89" i="3"/>
  <c r="L53" i="2" s="1"/>
  <c r="P88" i="3"/>
  <c r="P89" i="3" s="1"/>
  <c r="V53" i="2" s="1"/>
  <c r="O88" i="3"/>
  <c r="O89" i="3" s="1"/>
  <c r="N88" i="3"/>
  <c r="M88" i="3"/>
  <c r="M89" i="3" s="1"/>
  <c r="L88" i="3"/>
  <c r="L89" i="3" s="1"/>
  <c r="K88" i="3"/>
  <c r="K89" i="3" s="1"/>
  <c r="J88" i="3"/>
  <c r="J89" i="3" s="1"/>
  <c r="I88" i="3"/>
  <c r="I89" i="3" s="1"/>
  <c r="O53" i="2" s="1"/>
  <c r="H88" i="3"/>
  <c r="G88" i="3"/>
  <c r="G89" i="3" s="1"/>
  <c r="M53" i="2" s="1"/>
  <c r="F88" i="3"/>
  <c r="E88" i="3"/>
  <c r="E89" i="3" s="1"/>
  <c r="D88" i="3"/>
  <c r="M87" i="3"/>
  <c r="H87" i="3"/>
  <c r="F87" i="3"/>
  <c r="P86" i="3"/>
  <c r="P87" i="3" s="1"/>
  <c r="V51" i="2" s="1"/>
  <c r="O86" i="3"/>
  <c r="O87" i="3" s="1"/>
  <c r="U51" i="2" s="1"/>
  <c r="N86" i="3"/>
  <c r="N87" i="3" s="1"/>
  <c r="T51" i="2" s="1"/>
  <c r="M86" i="3"/>
  <c r="L86" i="3"/>
  <c r="L87" i="3" s="1"/>
  <c r="K86" i="3"/>
  <c r="K87" i="3" s="1"/>
  <c r="J86" i="3"/>
  <c r="J87" i="3" s="1"/>
  <c r="I86" i="3"/>
  <c r="I87" i="3" s="1"/>
  <c r="H86" i="3"/>
  <c r="G86" i="3"/>
  <c r="F86" i="3"/>
  <c r="E86" i="3"/>
  <c r="E87" i="3" s="1"/>
  <c r="D86" i="3"/>
  <c r="D87" i="3" s="1"/>
  <c r="O85" i="3"/>
  <c r="E85" i="3"/>
  <c r="D85" i="3"/>
  <c r="P84" i="3"/>
  <c r="P85" i="3" s="1"/>
  <c r="O84" i="3"/>
  <c r="N84" i="3"/>
  <c r="N85" i="3" s="1"/>
  <c r="M84" i="3"/>
  <c r="M85" i="3" s="1"/>
  <c r="L84" i="3"/>
  <c r="L85" i="3" s="1"/>
  <c r="K84" i="3"/>
  <c r="K85" i="3" s="1"/>
  <c r="J84" i="3"/>
  <c r="J85" i="3" s="1"/>
  <c r="I84" i="3"/>
  <c r="I85" i="3" s="1"/>
  <c r="H84" i="3"/>
  <c r="H85" i="3" s="1"/>
  <c r="G84" i="3"/>
  <c r="G85" i="3" s="1"/>
  <c r="M49" i="2" s="1"/>
  <c r="F84" i="3"/>
  <c r="E84" i="3"/>
  <c r="D84" i="3"/>
  <c r="Z84" i="3" s="1"/>
  <c r="K83" i="3"/>
  <c r="P82" i="3"/>
  <c r="P83" i="3" s="1"/>
  <c r="O82" i="3"/>
  <c r="O83" i="3" s="1"/>
  <c r="N82" i="3"/>
  <c r="N83" i="3" s="1"/>
  <c r="T47" i="2" s="1"/>
  <c r="M82" i="3"/>
  <c r="M83" i="3" s="1"/>
  <c r="S47" i="2" s="1"/>
  <c r="L82" i="3"/>
  <c r="L83" i="3" s="1"/>
  <c r="K82" i="3"/>
  <c r="J82" i="3"/>
  <c r="J83" i="3" s="1"/>
  <c r="P47" i="2" s="1"/>
  <c r="I82" i="3"/>
  <c r="I83" i="3" s="1"/>
  <c r="H82" i="3"/>
  <c r="H83" i="3" s="1"/>
  <c r="G82" i="3"/>
  <c r="G83" i="3" s="1"/>
  <c r="F82" i="3"/>
  <c r="F83" i="3" s="1"/>
  <c r="L47" i="2" s="1"/>
  <c r="E82" i="3"/>
  <c r="D82" i="3"/>
  <c r="D83" i="3" s="1"/>
  <c r="J47" i="2" s="1"/>
  <c r="P80" i="3"/>
  <c r="P81" i="3" s="1"/>
  <c r="O80" i="3"/>
  <c r="O81" i="3" s="1"/>
  <c r="U45" i="2" s="1"/>
  <c r="N80" i="3"/>
  <c r="N81" i="3" s="1"/>
  <c r="M80" i="3"/>
  <c r="M81" i="3" s="1"/>
  <c r="S45" i="2" s="1"/>
  <c r="L80" i="3"/>
  <c r="L81" i="3" s="1"/>
  <c r="R45" i="2" s="1"/>
  <c r="K80" i="3"/>
  <c r="K81" i="3" s="1"/>
  <c r="J80" i="3"/>
  <c r="J81" i="3" s="1"/>
  <c r="P45" i="2" s="1"/>
  <c r="I80" i="3"/>
  <c r="I81" i="3" s="1"/>
  <c r="H80" i="3"/>
  <c r="H81" i="3" s="1"/>
  <c r="G80" i="3"/>
  <c r="G81" i="3" s="1"/>
  <c r="M45" i="2" s="1"/>
  <c r="F80" i="3"/>
  <c r="F81" i="3" s="1"/>
  <c r="E80" i="3"/>
  <c r="E81" i="3" s="1"/>
  <c r="K45" i="2" s="1"/>
  <c r="D80" i="3"/>
  <c r="D81" i="3" s="1"/>
  <c r="J79" i="3"/>
  <c r="I79" i="3"/>
  <c r="O43" i="2" s="1"/>
  <c r="P78" i="3"/>
  <c r="P79" i="3" s="1"/>
  <c r="V43" i="2" s="1"/>
  <c r="O78" i="3"/>
  <c r="O79" i="3" s="1"/>
  <c r="N78" i="3"/>
  <c r="N79" i="3" s="1"/>
  <c r="T43" i="2" s="1"/>
  <c r="M78" i="3"/>
  <c r="M79" i="3" s="1"/>
  <c r="L78" i="3"/>
  <c r="L79" i="3" s="1"/>
  <c r="R43" i="2" s="1"/>
  <c r="K78" i="3"/>
  <c r="K79" i="3" s="1"/>
  <c r="Q43" i="2" s="1"/>
  <c r="J78" i="3"/>
  <c r="I78" i="3"/>
  <c r="H78" i="3"/>
  <c r="H79" i="3" s="1"/>
  <c r="N43" i="2" s="1"/>
  <c r="G78" i="3"/>
  <c r="G79" i="3" s="1"/>
  <c r="F78" i="3"/>
  <c r="F79" i="3" s="1"/>
  <c r="E78" i="3"/>
  <c r="E79" i="3" s="1"/>
  <c r="D78" i="3"/>
  <c r="P77" i="3"/>
  <c r="P76" i="3"/>
  <c r="O76" i="3"/>
  <c r="O77" i="3" s="1"/>
  <c r="N76" i="3"/>
  <c r="N77" i="3" s="1"/>
  <c r="M76" i="3"/>
  <c r="M77" i="3" s="1"/>
  <c r="L76" i="3"/>
  <c r="L77" i="3" s="1"/>
  <c r="R41" i="2" s="1"/>
  <c r="K76" i="3"/>
  <c r="K77" i="3" s="1"/>
  <c r="Q41" i="2" s="1"/>
  <c r="J76" i="3"/>
  <c r="J77" i="3" s="1"/>
  <c r="P41" i="2" s="1"/>
  <c r="I76" i="3"/>
  <c r="I77" i="3" s="1"/>
  <c r="O41" i="2" s="1"/>
  <c r="H76" i="3"/>
  <c r="H77" i="3" s="1"/>
  <c r="G76" i="3"/>
  <c r="G77" i="3" s="1"/>
  <c r="F76" i="3"/>
  <c r="F77" i="3" s="1"/>
  <c r="E76" i="3"/>
  <c r="E77" i="3" s="1"/>
  <c r="D76" i="3"/>
  <c r="P75" i="3"/>
  <c r="H75" i="3"/>
  <c r="P74" i="3"/>
  <c r="O74" i="3"/>
  <c r="O75" i="3" s="1"/>
  <c r="N74" i="3"/>
  <c r="N75" i="3" s="1"/>
  <c r="M74" i="3"/>
  <c r="M75" i="3" s="1"/>
  <c r="L74" i="3"/>
  <c r="L75" i="3" s="1"/>
  <c r="K74" i="3"/>
  <c r="K75" i="3" s="1"/>
  <c r="J74" i="3"/>
  <c r="J75" i="3" s="1"/>
  <c r="I74" i="3"/>
  <c r="Z74" i="3" s="1"/>
  <c r="H74" i="3"/>
  <c r="G74" i="3"/>
  <c r="G75" i="3" s="1"/>
  <c r="M39" i="2" s="1"/>
  <c r="F74" i="3"/>
  <c r="F75" i="3" s="1"/>
  <c r="E74" i="3"/>
  <c r="E75" i="3" s="1"/>
  <c r="D74" i="3"/>
  <c r="O73" i="3"/>
  <c r="N73" i="3"/>
  <c r="G73" i="3"/>
  <c r="M37" i="2" s="1"/>
  <c r="F73" i="3"/>
  <c r="P72" i="3"/>
  <c r="P73" i="3" s="1"/>
  <c r="V37" i="2" s="1"/>
  <c r="O72" i="3"/>
  <c r="N72" i="3"/>
  <c r="M72" i="3"/>
  <c r="M73" i="3" s="1"/>
  <c r="S37" i="2" s="1"/>
  <c r="L72" i="3"/>
  <c r="L73" i="3" s="1"/>
  <c r="K72" i="3"/>
  <c r="K73" i="3" s="1"/>
  <c r="J72" i="3"/>
  <c r="J73" i="3" s="1"/>
  <c r="I72" i="3"/>
  <c r="I73" i="3" s="1"/>
  <c r="O37" i="2" s="1"/>
  <c r="H72" i="3"/>
  <c r="G72" i="3"/>
  <c r="F72" i="3"/>
  <c r="E72" i="3"/>
  <c r="E73" i="3" s="1"/>
  <c r="D72" i="3"/>
  <c r="M71" i="3"/>
  <c r="S35" i="2" s="1"/>
  <c r="G71" i="3"/>
  <c r="M35" i="2" s="1"/>
  <c r="P70" i="3"/>
  <c r="P71" i="3" s="1"/>
  <c r="V35" i="2" s="1"/>
  <c r="O70" i="3"/>
  <c r="O71" i="3" s="1"/>
  <c r="U35" i="2" s="1"/>
  <c r="N70" i="3"/>
  <c r="N71" i="3" s="1"/>
  <c r="T35" i="2" s="1"/>
  <c r="M70" i="3"/>
  <c r="L70" i="3"/>
  <c r="L71" i="3" s="1"/>
  <c r="R35" i="2" s="1"/>
  <c r="K70" i="3"/>
  <c r="K71" i="3" s="1"/>
  <c r="Q35" i="2" s="1"/>
  <c r="J70" i="3"/>
  <c r="J71" i="3" s="1"/>
  <c r="I70" i="3"/>
  <c r="I71" i="3" s="1"/>
  <c r="H70" i="3"/>
  <c r="H71" i="3" s="1"/>
  <c r="N35" i="2" s="1"/>
  <c r="G70" i="3"/>
  <c r="F70" i="3"/>
  <c r="F71" i="3" s="1"/>
  <c r="E70" i="3"/>
  <c r="D70" i="3"/>
  <c r="P69" i="3"/>
  <c r="O69" i="3"/>
  <c r="H69" i="3"/>
  <c r="N33" i="2" s="1"/>
  <c r="G69" i="3"/>
  <c r="P68" i="3"/>
  <c r="O68" i="3"/>
  <c r="N68" i="3"/>
  <c r="N69" i="3" s="1"/>
  <c r="T33" i="2" s="1"/>
  <c r="M68" i="3"/>
  <c r="M69" i="3" s="1"/>
  <c r="S33" i="2" s="1"/>
  <c r="L68" i="3"/>
  <c r="L69" i="3" s="1"/>
  <c r="R33" i="2" s="1"/>
  <c r="K68" i="3"/>
  <c r="K69" i="3" s="1"/>
  <c r="J68" i="3"/>
  <c r="J69" i="3" s="1"/>
  <c r="P33" i="2" s="1"/>
  <c r="I68" i="3"/>
  <c r="I69" i="3" s="1"/>
  <c r="H68" i="3"/>
  <c r="G68" i="3"/>
  <c r="F68" i="3"/>
  <c r="F69" i="3" s="1"/>
  <c r="L33" i="2" s="1"/>
  <c r="E68" i="3"/>
  <c r="E69" i="3" s="1"/>
  <c r="K33" i="2" s="1"/>
  <c r="D68" i="3"/>
  <c r="L67" i="3"/>
  <c r="F67" i="3"/>
  <c r="L31" i="2" s="1"/>
  <c r="D67" i="3"/>
  <c r="P66" i="3"/>
  <c r="P67" i="3" s="1"/>
  <c r="O66" i="3"/>
  <c r="O67" i="3" s="1"/>
  <c r="U31" i="2" s="1"/>
  <c r="N66" i="3"/>
  <c r="N67" i="3" s="1"/>
  <c r="T31" i="2" s="1"/>
  <c r="M66" i="3"/>
  <c r="M67" i="3" s="1"/>
  <c r="S31" i="2" s="1"/>
  <c r="L66" i="3"/>
  <c r="K66" i="3"/>
  <c r="K67" i="3" s="1"/>
  <c r="Q31" i="2" s="1"/>
  <c r="J66" i="3"/>
  <c r="J67" i="3" s="1"/>
  <c r="P31" i="2" s="1"/>
  <c r="I66" i="3"/>
  <c r="I67" i="3" s="1"/>
  <c r="H66" i="3"/>
  <c r="H67" i="3" s="1"/>
  <c r="G66" i="3"/>
  <c r="G67" i="3" s="1"/>
  <c r="M31" i="2" s="1"/>
  <c r="F66" i="3"/>
  <c r="E66" i="3"/>
  <c r="D66" i="3"/>
  <c r="N65" i="3"/>
  <c r="F65" i="3"/>
  <c r="L29" i="2" s="1"/>
  <c r="P64" i="3"/>
  <c r="P65" i="3" s="1"/>
  <c r="V29" i="2" s="1"/>
  <c r="O64" i="3"/>
  <c r="O65" i="3" s="1"/>
  <c r="N64" i="3"/>
  <c r="M64" i="3"/>
  <c r="M65" i="3" s="1"/>
  <c r="S29" i="2" s="1"/>
  <c r="L64" i="3"/>
  <c r="L65" i="3" s="1"/>
  <c r="R29" i="2" s="1"/>
  <c r="K64" i="3"/>
  <c r="K65" i="3" s="1"/>
  <c r="Q29" i="2" s="1"/>
  <c r="J64" i="3"/>
  <c r="J65" i="3" s="1"/>
  <c r="P29" i="2" s="1"/>
  <c r="I64" i="3"/>
  <c r="I65" i="3" s="1"/>
  <c r="H64" i="3"/>
  <c r="H65" i="3" s="1"/>
  <c r="N29" i="2" s="1"/>
  <c r="G64" i="3"/>
  <c r="G65" i="3" s="1"/>
  <c r="M29" i="2" s="1"/>
  <c r="F64" i="3"/>
  <c r="E64" i="3"/>
  <c r="D64" i="3"/>
  <c r="O63" i="3"/>
  <c r="G63" i="3"/>
  <c r="M27" i="2" s="1"/>
  <c r="P62" i="3"/>
  <c r="P63" i="3" s="1"/>
  <c r="O62" i="3"/>
  <c r="N62" i="3"/>
  <c r="N63" i="3" s="1"/>
  <c r="M62" i="3"/>
  <c r="M63" i="3" s="1"/>
  <c r="S27" i="2" s="1"/>
  <c r="L62" i="3"/>
  <c r="L63" i="3" s="1"/>
  <c r="R27" i="2" s="1"/>
  <c r="K62" i="3"/>
  <c r="K63" i="3" s="1"/>
  <c r="Q27" i="2" s="1"/>
  <c r="J62" i="3"/>
  <c r="J63" i="3" s="1"/>
  <c r="P27" i="2" s="1"/>
  <c r="I62" i="3"/>
  <c r="I63" i="3" s="1"/>
  <c r="O27" i="2" s="1"/>
  <c r="H62" i="3"/>
  <c r="H63" i="3" s="1"/>
  <c r="G62" i="3"/>
  <c r="F62" i="3"/>
  <c r="F63" i="3" s="1"/>
  <c r="E62" i="3"/>
  <c r="D62" i="3"/>
  <c r="D63" i="3" s="1"/>
  <c r="J27" i="2" s="1"/>
  <c r="P61" i="3"/>
  <c r="I61" i="3"/>
  <c r="O25" i="2" s="1"/>
  <c r="H61" i="3"/>
  <c r="N25" i="2" s="1"/>
  <c r="P60" i="3"/>
  <c r="O60" i="3"/>
  <c r="O61" i="3" s="1"/>
  <c r="N60" i="3"/>
  <c r="N61" i="3" s="1"/>
  <c r="T25" i="2" s="1"/>
  <c r="M60" i="3"/>
  <c r="M61" i="3" s="1"/>
  <c r="S25" i="2" s="1"/>
  <c r="L60" i="3"/>
  <c r="L61" i="3" s="1"/>
  <c r="R25" i="2" s="1"/>
  <c r="K60" i="3"/>
  <c r="K61" i="3" s="1"/>
  <c r="Q25" i="2" s="1"/>
  <c r="J60" i="3"/>
  <c r="J61" i="3" s="1"/>
  <c r="P25" i="2" s="1"/>
  <c r="I60" i="3"/>
  <c r="H60" i="3"/>
  <c r="G60" i="3"/>
  <c r="G61" i="3" s="1"/>
  <c r="F60" i="3"/>
  <c r="F61" i="3" s="1"/>
  <c r="E60" i="3"/>
  <c r="E61" i="3" s="1"/>
  <c r="K25" i="2" s="1"/>
  <c r="D60" i="3"/>
  <c r="D61" i="3" s="1"/>
  <c r="J25" i="2" s="1"/>
  <c r="P59" i="3"/>
  <c r="O59" i="3"/>
  <c r="P58" i="3"/>
  <c r="O58" i="3"/>
  <c r="N58" i="3"/>
  <c r="N59" i="3" s="1"/>
  <c r="M58" i="3"/>
  <c r="M59" i="3" s="1"/>
  <c r="S23" i="2" s="1"/>
  <c r="L58" i="3"/>
  <c r="L59" i="3" s="1"/>
  <c r="K58" i="3"/>
  <c r="K59" i="3" s="1"/>
  <c r="Q23" i="2" s="1"/>
  <c r="J58" i="3"/>
  <c r="J59" i="3" s="1"/>
  <c r="P23" i="2" s="1"/>
  <c r="I58" i="3"/>
  <c r="I59" i="3" s="1"/>
  <c r="O23" i="2" s="1"/>
  <c r="H58" i="3"/>
  <c r="H59" i="3" s="1"/>
  <c r="N23" i="2" s="1"/>
  <c r="G58" i="3"/>
  <c r="G59" i="3" s="1"/>
  <c r="F58" i="3"/>
  <c r="F59" i="3" s="1"/>
  <c r="E58" i="3"/>
  <c r="V58" i="3" s="1"/>
  <c r="D58" i="3"/>
  <c r="G57" i="3"/>
  <c r="P56" i="3"/>
  <c r="P57" i="3" s="1"/>
  <c r="V21" i="2" s="1"/>
  <c r="O56" i="3"/>
  <c r="O57" i="3" s="1"/>
  <c r="N56" i="3"/>
  <c r="N57" i="3" s="1"/>
  <c r="T21" i="2" s="1"/>
  <c r="M56" i="3"/>
  <c r="M57" i="3" s="1"/>
  <c r="L56" i="3"/>
  <c r="L57" i="3" s="1"/>
  <c r="R21" i="2" s="1"/>
  <c r="K56" i="3"/>
  <c r="K57" i="3" s="1"/>
  <c r="J56" i="3"/>
  <c r="J57" i="3" s="1"/>
  <c r="I56" i="3"/>
  <c r="I57" i="3" s="1"/>
  <c r="O21" i="2" s="1"/>
  <c r="H56" i="3"/>
  <c r="G56" i="3"/>
  <c r="F56" i="3"/>
  <c r="E56" i="3"/>
  <c r="E57" i="3" s="1"/>
  <c r="K21" i="2" s="1"/>
  <c r="D56" i="3"/>
  <c r="F55" i="3"/>
  <c r="P54" i="3"/>
  <c r="P55" i="3" s="1"/>
  <c r="V19" i="2" s="1"/>
  <c r="O54" i="3"/>
  <c r="O55" i="3" s="1"/>
  <c r="U19" i="2" s="1"/>
  <c r="N54" i="3"/>
  <c r="N55" i="3" s="1"/>
  <c r="M54" i="3"/>
  <c r="M55" i="3" s="1"/>
  <c r="S19" i="2" s="1"/>
  <c r="L54" i="3"/>
  <c r="L55" i="3" s="1"/>
  <c r="R19" i="2" s="1"/>
  <c r="K54" i="3"/>
  <c r="K55" i="3" s="1"/>
  <c r="Q19" i="2" s="1"/>
  <c r="J54" i="3"/>
  <c r="J55" i="3" s="1"/>
  <c r="P19" i="2" s="1"/>
  <c r="I54" i="3"/>
  <c r="I55" i="3" s="1"/>
  <c r="O19" i="2" s="1"/>
  <c r="H54" i="3"/>
  <c r="H55" i="3" s="1"/>
  <c r="N19" i="2" s="1"/>
  <c r="G54" i="3"/>
  <c r="G55" i="3" s="1"/>
  <c r="M19" i="2" s="1"/>
  <c r="F54" i="3"/>
  <c r="E54" i="3"/>
  <c r="E55" i="3" s="1"/>
  <c r="K19" i="2" s="1"/>
  <c r="D54" i="3"/>
  <c r="P53" i="3"/>
  <c r="O53" i="3"/>
  <c r="N53" i="3"/>
  <c r="H53" i="3"/>
  <c r="G53" i="3"/>
  <c r="M17" i="2" s="1"/>
  <c r="F53" i="3"/>
  <c r="P52" i="3"/>
  <c r="O52" i="3"/>
  <c r="N52" i="3"/>
  <c r="M52" i="3"/>
  <c r="M53" i="3" s="1"/>
  <c r="S17" i="2" s="1"/>
  <c r="L52" i="3"/>
  <c r="L53" i="3" s="1"/>
  <c r="R17" i="2" s="1"/>
  <c r="K52" i="3"/>
  <c r="K53" i="3" s="1"/>
  <c r="J52" i="3"/>
  <c r="J53" i="3" s="1"/>
  <c r="P17" i="2" s="1"/>
  <c r="I52" i="3"/>
  <c r="I53" i="3" s="1"/>
  <c r="O17" i="2" s="1"/>
  <c r="H52" i="3"/>
  <c r="G52" i="3"/>
  <c r="F52" i="3"/>
  <c r="E52" i="3"/>
  <c r="E53" i="3" s="1"/>
  <c r="K17" i="2" s="1"/>
  <c r="D52" i="3"/>
  <c r="D53" i="3" s="1"/>
  <c r="J17" i="2" s="1"/>
  <c r="P50" i="3"/>
  <c r="I50" i="3"/>
  <c r="H50" i="3"/>
  <c r="P48" i="3"/>
  <c r="O48" i="3"/>
  <c r="N48" i="3"/>
  <c r="M48" i="3"/>
  <c r="L48" i="3"/>
  <c r="K48" i="3"/>
  <c r="J48" i="3"/>
  <c r="I48" i="3"/>
  <c r="H48" i="3"/>
  <c r="G48" i="3"/>
  <c r="F48" i="3"/>
  <c r="E48" i="3"/>
  <c r="D48" i="3"/>
  <c r="P45" i="3"/>
  <c r="O45" i="3"/>
  <c r="O50" i="3" s="1"/>
  <c r="N45" i="3"/>
  <c r="N50" i="3" s="1"/>
  <c r="M45" i="3"/>
  <c r="M50" i="3" s="1"/>
  <c r="L45" i="3"/>
  <c r="L50" i="3" s="1"/>
  <c r="K45" i="3"/>
  <c r="K50" i="3" s="1"/>
  <c r="J45" i="3"/>
  <c r="J50" i="3" s="1"/>
  <c r="I45" i="3"/>
  <c r="H45" i="3"/>
  <c r="G45" i="3"/>
  <c r="G50" i="3" s="1"/>
  <c r="F45" i="3"/>
  <c r="F50" i="3" s="1"/>
  <c r="E45" i="3"/>
  <c r="E50" i="3" s="1"/>
  <c r="D45" i="3"/>
  <c r="D50" i="3" s="1"/>
  <c r="V211" i="2"/>
  <c r="U211" i="2"/>
  <c r="T211" i="2"/>
  <c r="S211" i="2"/>
  <c r="R211" i="2"/>
  <c r="Q211" i="2"/>
  <c r="P211" i="2"/>
  <c r="O211" i="2"/>
  <c r="N211" i="2"/>
  <c r="M211" i="2"/>
  <c r="L211" i="2"/>
  <c r="K211" i="2"/>
  <c r="W210" i="2"/>
  <c r="H210" i="2"/>
  <c r="G210" i="2"/>
  <c r="C210" i="2"/>
  <c r="V209" i="2"/>
  <c r="U209" i="2"/>
  <c r="T209" i="2"/>
  <c r="S209" i="2"/>
  <c r="R209" i="2"/>
  <c r="Q209" i="2"/>
  <c r="P209" i="2"/>
  <c r="O209" i="2"/>
  <c r="N209" i="2"/>
  <c r="M209" i="2"/>
  <c r="J209" i="2"/>
  <c r="W208" i="2"/>
  <c r="H208" i="2"/>
  <c r="G208" i="2"/>
  <c r="C208" i="2"/>
  <c r="V207" i="2"/>
  <c r="U207" i="2"/>
  <c r="T207" i="2"/>
  <c r="S207" i="2"/>
  <c r="R207" i="2"/>
  <c r="Q207" i="2"/>
  <c r="P207" i="2"/>
  <c r="O207" i="2"/>
  <c r="N207" i="2"/>
  <c r="M207" i="2"/>
  <c r="L207" i="2"/>
  <c r="K207" i="2"/>
  <c r="J207" i="2"/>
  <c r="W206" i="2"/>
  <c r="H206" i="2"/>
  <c r="G206" i="2"/>
  <c r="C206" i="2"/>
  <c r="V205" i="2"/>
  <c r="U205" i="2"/>
  <c r="T205" i="2"/>
  <c r="S205" i="2"/>
  <c r="R205" i="2"/>
  <c r="Q205" i="2"/>
  <c r="N205" i="2"/>
  <c r="M205" i="2"/>
  <c r="K205" i="2"/>
  <c r="W204" i="2"/>
  <c r="H204" i="2"/>
  <c r="G204" i="2"/>
  <c r="C204" i="2"/>
  <c r="V203" i="2"/>
  <c r="U203" i="2"/>
  <c r="T203" i="2"/>
  <c r="S203" i="2"/>
  <c r="R203" i="2"/>
  <c r="Q203" i="2"/>
  <c r="P203" i="2"/>
  <c r="M203" i="2"/>
  <c r="L203" i="2"/>
  <c r="J203" i="2"/>
  <c r="W202" i="2"/>
  <c r="H202" i="2"/>
  <c r="G202" i="2"/>
  <c r="C202" i="2"/>
  <c r="U201" i="2"/>
  <c r="T201" i="2"/>
  <c r="S201" i="2"/>
  <c r="R201" i="2"/>
  <c r="Q201" i="2"/>
  <c r="P201" i="2"/>
  <c r="N201" i="2"/>
  <c r="M201" i="2"/>
  <c r="L201" i="2"/>
  <c r="K201" i="2"/>
  <c r="W200" i="2"/>
  <c r="H200" i="2"/>
  <c r="G200" i="2"/>
  <c r="C200" i="2"/>
  <c r="V199" i="2"/>
  <c r="U199" i="2"/>
  <c r="T199" i="2"/>
  <c r="S199" i="2"/>
  <c r="R199" i="2"/>
  <c r="Q199" i="2"/>
  <c r="P199" i="2"/>
  <c r="O199" i="2"/>
  <c r="M199" i="2"/>
  <c r="L199" i="2"/>
  <c r="K199" i="2"/>
  <c r="W198" i="2"/>
  <c r="H198" i="2"/>
  <c r="G198" i="2"/>
  <c r="C198" i="2"/>
  <c r="U197" i="2"/>
  <c r="T197" i="2"/>
  <c r="S197" i="2"/>
  <c r="R197" i="2"/>
  <c r="Q197" i="2"/>
  <c r="P197" i="2"/>
  <c r="O197" i="2"/>
  <c r="M197" i="2"/>
  <c r="L197" i="2"/>
  <c r="K197" i="2"/>
  <c r="J197" i="2"/>
  <c r="W196" i="2"/>
  <c r="H196" i="2"/>
  <c r="G196" i="2"/>
  <c r="C196" i="2"/>
  <c r="V195" i="2"/>
  <c r="U195" i="2"/>
  <c r="T195" i="2"/>
  <c r="S195" i="2"/>
  <c r="R195" i="2"/>
  <c r="Q195" i="2"/>
  <c r="P195" i="2"/>
  <c r="N195" i="2"/>
  <c r="M195" i="2"/>
  <c r="K195" i="2"/>
  <c r="J195" i="2"/>
  <c r="W194" i="2"/>
  <c r="H194" i="2"/>
  <c r="G194" i="2"/>
  <c r="C194" i="2"/>
  <c r="V193" i="2"/>
  <c r="U193" i="2"/>
  <c r="T193" i="2"/>
  <c r="S193" i="2"/>
  <c r="R193" i="2"/>
  <c r="P193" i="2"/>
  <c r="O193" i="2"/>
  <c r="N193" i="2"/>
  <c r="M193" i="2"/>
  <c r="K193" i="2"/>
  <c r="J193" i="2"/>
  <c r="W192" i="2"/>
  <c r="H192" i="2"/>
  <c r="G192" i="2"/>
  <c r="C192" i="2"/>
  <c r="V191" i="2"/>
  <c r="U191" i="2"/>
  <c r="T191" i="2"/>
  <c r="S191" i="2"/>
  <c r="P191" i="2"/>
  <c r="O191" i="2"/>
  <c r="N191" i="2"/>
  <c r="M191" i="2"/>
  <c r="L191" i="2"/>
  <c r="W190" i="2"/>
  <c r="H190" i="2"/>
  <c r="G190" i="2"/>
  <c r="C190" i="2"/>
  <c r="V189" i="2"/>
  <c r="U189" i="2"/>
  <c r="T189" i="2"/>
  <c r="S189" i="2"/>
  <c r="R189" i="2"/>
  <c r="P189" i="2"/>
  <c r="O189" i="2"/>
  <c r="N189" i="2"/>
  <c r="M189" i="2"/>
  <c r="L189" i="2"/>
  <c r="K189" i="2"/>
  <c r="W188" i="2"/>
  <c r="H188" i="2"/>
  <c r="G188" i="2"/>
  <c r="C188" i="2"/>
  <c r="V187" i="2"/>
  <c r="U187" i="2"/>
  <c r="T187" i="2"/>
  <c r="S187" i="2"/>
  <c r="R187" i="2"/>
  <c r="Q187" i="2"/>
  <c r="P187" i="2"/>
  <c r="O187" i="2"/>
  <c r="M187" i="2"/>
  <c r="K187" i="2"/>
  <c r="J187" i="2"/>
  <c r="W186" i="2"/>
  <c r="H186" i="2"/>
  <c r="G186" i="2"/>
  <c r="C186" i="2"/>
  <c r="V185" i="2"/>
  <c r="U185" i="2"/>
  <c r="T185" i="2"/>
  <c r="S185" i="2"/>
  <c r="R185" i="2"/>
  <c r="P185" i="2"/>
  <c r="O185" i="2"/>
  <c r="N185" i="2"/>
  <c r="M185" i="2"/>
  <c r="L185" i="2"/>
  <c r="W184" i="2"/>
  <c r="H184" i="2"/>
  <c r="G184" i="2"/>
  <c r="C184" i="2"/>
  <c r="V183" i="2"/>
  <c r="U183" i="2"/>
  <c r="T183" i="2"/>
  <c r="S183" i="2"/>
  <c r="R183" i="2"/>
  <c r="Q183" i="2"/>
  <c r="P183" i="2"/>
  <c r="O183" i="2"/>
  <c r="N183" i="2"/>
  <c r="L183" i="2"/>
  <c r="K183" i="2"/>
  <c r="W182" i="2"/>
  <c r="H182" i="2"/>
  <c r="G182" i="2"/>
  <c r="C182" i="2"/>
  <c r="V181" i="2"/>
  <c r="U181" i="2"/>
  <c r="T181" i="2"/>
  <c r="S181" i="2"/>
  <c r="R181" i="2"/>
  <c r="Q181" i="2"/>
  <c r="P181" i="2"/>
  <c r="O181" i="2"/>
  <c r="M181" i="2"/>
  <c r="L181" i="2"/>
  <c r="K181" i="2"/>
  <c r="J181" i="2"/>
  <c r="W180" i="2"/>
  <c r="H180" i="2"/>
  <c r="G180" i="2"/>
  <c r="C180" i="2"/>
  <c r="V179" i="2"/>
  <c r="U179" i="2"/>
  <c r="T179" i="2"/>
  <c r="S179" i="2"/>
  <c r="R179" i="2"/>
  <c r="Q179" i="2"/>
  <c r="P179" i="2"/>
  <c r="N179" i="2"/>
  <c r="M179" i="2"/>
  <c r="L179" i="2"/>
  <c r="K179" i="2"/>
  <c r="J179" i="2"/>
  <c r="W178" i="2"/>
  <c r="H178" i="2"/>
  <c r="G178" i="2"/>
  <c r="C178" i="2"/>
  <c r="V177" i="2"/>
  <c r="U177" i="2"/>
  <c r="T177" i="2"/>
  <c r="S177" i="2"/>
  <c r="R177" i="2"/>
  <c r="Q177" i="2"/>
  <c r="P177" i="2"/>
  <c r="O177" i="2"/>
  <c r="N177" i="2"/>
  <c r="L177" i="2"/>
  <c r="J177" i="2"/>
  <c r="W176" i="2"/>
  <c r="H176" i="2"/>
  <c r="G176" i="2"/>
  <c r="C176" i="2"/>
  <c r="V175" i="2"/>
  <c r="U175" i="2"/>
  <c r="T175" i="2"/>
  <c r="S175" i="2"/>
  <c r="R175" i="2"/>
  <c r="Q175" i="2"/>
  <c r="P175" i="2"/>
  <c r="O175" i="2"/>
  <c r="N175" i="2"/>
  <c r="L175" i="2"/>
  <c r="K175" i="2"/>
  <c r="J175" i="2"/>
  <c r="W174" i="2"/>
  <c r="H174" i="2"/>
  <c r="G174" i="2"/>
  <c r="C174" i="2"/>
  <c r="V173" i="2"/>
  <c r="U173" i="2"/>
  <c r="T173" i="2"/>
  <c r="S173" i="2"/>
  <c r="R173" i="2"/>
  <c r="P173" i="2"/>
  <c r="N173" i="2"/>
  <c r="M173" i="2"/>
  <c r="L173" i="2"/>
  <c r="W172" i="2"/>
  <c r="H172" i="2"/>
  <c r="G172" i="2"/>
  <c r="C172" i="2"/>
  <c r="V171" i="2"/>
  <c r="U171" i="2"/>
  <c r="T171" i="2"/>
  <c r="S171" i="2"/>
  <c r="R171" i="2"/>
  <c r="Q171" i="2"/>
  <c r="N171" i="2"/>
  <c r="M171" i="2"/>
  <c r="L171" i="2"/>
  <c r="K171" i="2"/>
  <c r="W170" i="2"/>
  <c r="H170" i="2"/>
  <c r="G170" i="2"/>
  <c r="C170" i="2"/>
  <c r="V169" i="2"/>
  <c r="U169" i="2"/>
  <c r="T169" i="2"/>
  <c r="S169" i="2"/>
  <c r="R169" i="2"/>
  <c r="Q169" i="2"/>
  <c r="P169" i="2"/>
  <c r="O169" i="2"/>
  <c r="N169" i="2"/>
  <c r="M169" i="2"/>
  <c r="L169" i="2"/>
  <c r="W168" i="2"/>
  <c r="H168" i="2"/>
  <c r="G168" i="2"/>
  <c r="C168" i="2"/>
  <c r="V167" i="2"/>
  <c r="U167" i="2"/>
  <c r="T167" i="2"/>
  <c r="S167" i="2"/>
  <c r="R167" i="2"/>
  <c r="Q167" i="2"/>
  <c r="P167" i="2"/>
  <c r="O167" i="2"/>
  <c r="N167" i="2"/>
  <c r="M167" i="2"/>
  <c r="L167" i="2"/>
  <c r="K167" i="2"/>
  <c r="W166" i="2"/>
  <c r="H166" i="2"/>
  <c r="G166" i="2"/>
  <c r="C166" i="2"/>
  <c r="V165" i="2"/>
  <c r="U165" i="2"/>
  <c r="T165" i="2"/>
  <c r="S165" i="2"/>
  <c r="R165" i="2"/>
  <c r="Q165" i="2"/>
  <c r="P165" i="2"/>
  <c r="L165" i="2"/>
  <c r="K165" i="2"/>
  <c r="J165" i="2"/>
  <c r="W164" i="2"/>
  <c r="H164" i="2"/>
  <c r="G164" i="2"/>
  <c r="C164" i="2"/>
  <c r="V163" i="2"/>
  <c r="U163" i="2"/>
  <c r="S163" i="2"/>
  <c r="R163" i="2"/>
  <c r="Q163" i="2"/>
  <c r="P163" i="2"/>
  <c r="O163" i="2"/>
  <c r="N163" i="2"/>
  <c r="M163" i="2"/>
  <c r="K163" i="2"/>
  <c r="W162" i="2"/>
  <c r="H162" i="2"/>
  <c r="G162" i="2"/>
  <c r="C162" i="2"/>
  <c r="V161" i="2"/>
  <c r="U161" i="2"/>
  <c r="T161" i="2"/>
  <c r="S161" i="2"/>
  <c r="R161" i="2"/>
  <c r="Q161" i="2"/>
  <c r="P161" i="2"/>
  <c r="N161" i="2"/>
  <c r="M161" i="2"/>
  <c r="L161" i="2"/>
  <c r="K161" i="2"/>
  <c r="J161" i="2"/>
  <c r="W160" i="2"/>
  <c r="H160" i="2"/>
  <c r="G160" i="2"/>
  <c r="C160" i="2"/>
  <c r="V159" i="2"/>
  <c r="U159" i="2"/>
  <c r="T159" i="2"/>
  <c r="S159" i="2"/>
  <c r="R159" i="2"/>
  <c r="Q159" i="2"/>
  <c r="O159" i="2"/>
  <c r="L159" i="2"/>
  <c r="K159" i="2"/>
  <c r="J159" i="2"/>
  <c r="W158" i="2"/>
  <c r="H158" i="2"/>
  <c r="G158" i="2"/>
  <c r="C158" i="2"/>
  <c r="V157" i="2"/>
  <c r="U157" i="2"/>
  <c r="T157" i="2"/>
  <c r="S157" i="2"/>
  <c r="Q157" i="2"/>
  <c r="P157" i="2"/>
  <c r="O157" i="2"/>
  <c r="N157" i="2"/>
  <c r="M157" i="2"/>
  <c r="K157" i="2"/>
  <c r="J157" i="2"/>
  <c r="W156" i="2"/>
  <c r="H156" i="2"/>
  <c r="G156" i="2"/>
  <c r="C156" i="2"/>
  <c r="V155" i="2"/>
  <c r="U155" i="2"/>
  <c r="T155" i="2"/>
  <c r="S155" i="2"/>
  <c r="R155" i="2"/>
  <c r="Q155" i="2"/>
  <c r="P155" i="2"/>
  <c r="O155" i="2"/>
  <c r="N155" i="2"/>
  <c r="M155" i="2"/>
  <c r="L155" i="2"/>
  <c r="K155" i="2"/>
  <c r="J155" i="2"/>
  <c r="W154" i="2"/>
  <c r="H154" i="2"/>
  <c r="G154" i="2"/>
  <c r="C154" i="2"/>
  <c r="V153" i="2"/>
  <c r="U153" i="2"/>
  <c r="T153" i="2"/>
  <c r="S153" i="2"/>
  <c r="R153" i="2"/>
  <c r="Q153" i="2"/>
  <c r="O153" i="2"/>
  <c r="N153" i="2"/>
  <c r="M153" i="2"/>
  <c r="L153" i="2"/>
  <c r="K153" i="2"/>
  <c r="W152" i="2"/>
  <c r="H152" i="2"/>
  <c r="G152" i="2"/>
  <c r="C152" i="2"/>
  <c r="V151" i="2"/>
  <c r="U151" i="2"/>
  <c r="T151" i="2"/>
  <c r="S151" i="2"/>
  <c r="R151" i="2"/>
  <c r="P151" i="2"/>
  <c r="O151" i="2"/>
  <c r="N151" i="2"/>
  <c r="M151" i="2"/>
  <c r="L151" i="2"/>
  <c r="K151" i="2"/>
  <c r="J151" i="2"/>
  <c r="W150" i="2"/>
  <c r="H150" i="2"/>
  <c r="G150" i="2"/>
  <c r="C150" i="2"/>
  <c r="V149" i="2"/>
  <c r="U149" i="2"/>
  <c r="T149" i="2"/>
  <c r="S149" i="2"/>
  <c r="R149" i="2"/>
  <c r="Q149" i="2"/>
  <c r="P149" i="2"/>
  <c r="O149" i="2"/>
  <c r="N149" i="2"/>
  <c r="L149" i="2"/>
  <c r="K149" i="2"/>
  <c r="W148" i="2"/>
  <c r="H148" i="2"/>
  <c r="G148" i="2"/>
  <c r="C148" i="2"/>
  <c r="V147" i="2"/>
  <c r="U147" i="2"/>
  <c r="S147" i="2"/>
  <c r="R147" i="2"/>
  <c r="Q147" i="2"/>
  <c r="P147" i="2"/>
  <c r="O147" i="2"/>
  <c r="M147" i="2"/>
  <c r="K147" i="2"/>
  <c r="W146" i="2"/>
  <c r="H146" i="2"/>
  <c r="G146" i="2"/>
  <c r="C146" i="2"/>
  <c r="V145" i="2"/>
  <c r="T145" i="2"/>
  <c r="S145" i="2"/>
  <c r="R145" i="2"/>
  <c r="Q145" i="2"/>
  <c r="P145" i="2"/>
  <c r="O145" i="2"/>
  <c r="N145" i="2"/>
  <c r="L145" i="2"/>
  <c r="W144" i="2"/>
  <c r="H144" i="2"/>
  <c r="G144" i="2"/>
  <c r="C144" i="2"/>
  <c r="V143" i="2"/>
  <c r="U143" i="2"/>
  <c r="T143" i="2"/>
  <c r="S143" i="2"/>
  <c r="R143" i="2"/>
  <c r="Q143" i="2"/>
  <c r="P143" i="2"/>
  <c r="O143" i="2"/>
  <c r="L143" i="2"/>
  <c r="K143" i="2"/>
  <c r="J143" i="2"/>
  <c r="W142" i="2"/>
  <c r="H142" i="2"/>
  <c r="G142" i="2"/>
  <c r="C142" i="2"/>
  <c r="T141" i="2"/>
  <c r="S141" i="2"/>
  <c r="R141" i="2"/>
  <c r="Q141" i="2"/>
  <c r="O141" i="2"/>
  <c r="N141" i="2"/>
  <c r="M141" i="2"/>
  <c r="L141" i="2"/>
  <c r="K141" i="2"/>
  <c r="J141" i="2"/>
  <c r="W140" i="2"/>
  <c r="H140" i="2"/>
  <c r="G140" i="2"/>
  <c r="C140" i="2"/>
  <c r="V139" i="2"/>
  <c r="U139" i="2"/>
  <c r="T139" i="2"/>
  <c r="S139" i="2"/>
  <c r="Q139" i="2"/>
  <c r="P139" i="2"/>
  <c r="O139" i="2"/>
  <c r="N139" i="2"/>
  <c r="M139" i="2"/>
  <c r="L139" i="2"/>
  <c r="W138" i="2"/>
  <c r="H138" i="2"/>
  <c r="G138" i="2"/>
  <c r="C138" i="2"/>
  <c r="V137" i="2"/>
  <c r="U137" i="2"/>
  <c r="T137" i="2"/>
  <c r="S137" i="2"/>
  <c r="R137" i="2"/>
  <c r="Q137" i="2"/>
  <c r="N137" i="2"/>
  <c r="M137" i="2"/>
  <c r="L137" i="2"/>
  <c r="W136" i="2"/>
  <c r="H136" i="2"/>
  <c r="G136" i="2"/>
  <c r="C136" i="2"/>
  <c r="V135" i="2"/>
  <c r="U135" i="2"/>
  <c r="T135" i="2"/>
  <c r="Q135" i="2"/>
  <c r="P135" i="2"/>
  <c r="N135" i="2"/>
  <c r="M135" i="2"/>
  <c r="L135" i="2"/>
  <c r="W134" i="2"/>
  <c r="H134" i="2"/>
  <c r="G134" i="2"/>
  <c r="C134" i="2"/>
  <c r="V133" i="2"/>
  <c r="U133" i="2"/>
  <c r="T133" i="2"/>
  <c r="S133" i="2"/>
  <c r="R133" i="2"/>
  <c r="Q133" i="2"/>
  <c r="P133" i="2"/>
  <c r="N133" i="2"/>
  <c r="M133" i="2"/>
  <c r="L133" i="2"/>
  <c r="K133" i="2"/>
  <c r="J133" i="2"/>
  <c r="W132" i="2"/>
  <c r="H132" i="2"/>
  <c r="G132" i="2"/>
  <c r="C132" i="2"/>
  <c r="V131" i="2"/>
  <c r="U131" i="2"/>
  <c r="T131" i="2"/>
  <c r="S131" i="2"/>
  <c r="R131" i="2"/>
  <c r="Q131" i="2"/>
  <c r="P131" i="2"/>
  <c r="O131" i="2"/>
  <c r="N131" i="2"/>
  <c r="M131" i="2"/>
  <c r="L131" i="2"/>
  <c r="W130" i="2"/>
  <c r="H130" i="2"/>
  <c r="G130" i="2"/>
  <c r="C130" i="2"/>
  <c r="V129" i="2"/>
  <c r="U129" i="2"/>
  <c r="T129" i="2"/>
  <c r="S129" i="2"/>
  <c r="R129" i="2"/>
  <c r="Q129" i="2"/>
  <c r="P129" i="2"/>
  <c r="N129" i="2"/>
  <c r="M129" i="2"/>
  <c r="L129" i="2"/>
  <c r="K129" i="2"/>
  <c r="W128" i="2"/>
  <c r="H128" i="2"/>
  <c r="G128" i="2"/>
  <c r="C128" i="2"/>
  <c r="V127" i="2"/>
  <c r="U127" i="2"/>
  <c r="S127" i="2"/>
  <c r="R127" i="2"/>
  <c r="Q127" i="2"/>
  <c r="O127" i="2"/>
  <c r="N127" i="2"/>
  <c r="M127" i="2"/>
  <c r="L127" i="2"/>
  <c r="W126" i="2"/>
  <c r="H126" i="2"/>
  <c r="G126" i="2"/>
  <c r="C126" i="2"/>
  <c r="V125" i="2"/>
  <c r="U125" i="2"/>
  <c r="T125" i="2"/>
  <c r="S125" i="2"/>
  <c r="R125" i="2"/>
  <c r="P125" i="2"/>
  <c r="O125" i="2"/>
  <c r="N125" i="2"/>
  <c r="M125" i="2"/>
  <c r="L125" i="2"/>
  <c r="K125" i="2"/>
  <c r="J125" i="2"/>
  <c r="W124" i="2"/>
  <c r="H124" i="2"/>
  <c r="G124" i="2"/>
  <c r="C124" i="2"/>
  <c r="V123" i="2"/>
  <c r="U123" i="2"/>
  <c r="T123" i="2"/>
  <c r="S123" i="2"/>
  <c r="R123" i="2"/>
  <c r="Q123" i="2"/>
  <c r="O123" i="2"/>
  <c r="N123" i="2"/>
  <c r="M123" i="2"/>
  <c r="J123" i="2"/>
  <c r="W122" i="2"/>
  <c r="H122" i="2"/>
  <c r="G122" i="2"/>
  <c r="C122" i="2"/>
  <c r="V121" i="2"/>
  <c r="U121" i="2"/>
  <c r="T121" i="2"/>
  <c r="S121" i="2"/>
  <c r="R121" i="2"/>
  <c r="P121" i="2"/>
  <c r="O121" i="2"/>
  <c r="N121" i="2"/>
  <c r="M121" i="2"/>
  <c r="L121" i="2"/>
  <c r="K121" i="2"/>
  <c r="W120" i="2"/>
  <c r="H120" i="2"/>
  <c r="G120" i="2"/>
  <c r="C120" i="2"/>
  <c r="V119" i="2"/>
  <c r="U119" i="2"/>
  <c r="T119" i="2"/>
  <c r="S119" i="2"/>
  <c r="R119" i="2"/>
  <c r="P119" i="2"/>
  <c r="O119" i="2"/>
  <c r="N119" i="2"/>
  <c r="M119" i="2"/>
  <c r="L119" i="2"/>
  <c r="W118" i="2"/>
  <c r="H118" i="2"/>
  <c r="G118" i="2"/>
  <c r="C118" i="2"/>
  <c r="S117" i="2"/>
  <c r="R117" i="2"/>
  <c r="Q117" i="2"/>
  <c r="P117" i="2"/>
  <c r="O117" i="2"/>
  <c r="N117" i="2"/>
  <c r="M117" i="2"/>
  <c r="L117" i="2"/>
  <c r="K117" i="2"/>
  <c r="W116" i="2"/>
  <c r="H116" i="2"/>
  <c r="G116" i="2"/>
  <c r="C116" i="2"/>
  <c r="V115" i="2"/>
  <c r="U115" i="2"/>
  <c r="T115" i="2"/>
  <c r="S115" i="2"/>
  <c r="R115" i="2"/>
  <c r="Q115" i="2"/>
  <c r="P115" i="2"/>
  <c r="O115" i="2"/>
  <c r="N115" i="2"/>
  <c r="L115" i="2"/>
  <c r="W114" i="2"/>
  <c r="H114" i="2"/>
  <c r="G114" i="2"/>
  <c r="C114" i="2"/>
  <c r="V113" i="2"/>
  <c r="T113" i="2"/>
  <c r="S113" i="2"/>
  <c r="R113" i="2"/>
  <c r="Q113" i="2"/>
  <c r="P113" i="2"/>
  <c r="O113" i="2"/>
  <c r="M113" i="2"/>
  <c r="K113" i="2"/>
  <c r="J113" i="2"/>
  <c r="W112" i="2"/>
  <c r="H112" i="2"/>
  <c r="G112" i="2"/>
  <c r="C112" i="2"/>
  <c r="V111" i="2"/>
  <c r="U111" i="2"/>
  <c r="T111" i="2"/>
  <c r="S111" i="2"/>
  <c r="R111" i="2"/>
  <c r="P111" i="2"/>
  <c r="O111" i="2"/>
  <c r="N111" i="2"/>
  <c r="L111" i="2"/>
  <c r="K111" i="2"/>
  <c r="W110" i="2"/>
  <c r="H110" i="2"/>
  <c r="G110" i="2"/>
  <c r="C110" i="2"/>
  <c r="V109" i="2"/>
  <c r="U109" i="2"/>
  <c r="T109" i="2"/>
  <c r="S109" i="2"/>
  <c r="R109" i="2"/>
  <c r="Q109" i="2"/>
  <c r="O109" i="2"/>
  <c r="N109" i="2"/>
  <c r="M109" i="2"/>
  <c r="L109" i="2"/>
  <c r="K109" i="2"/>
  <c r="W108" i="2"/>
  <c r="H108" i="2"/>
  <c r="G108" i="2"/>
  <c r="C108" i="2"/>
  <c r="V107" i="2"/>
  <c r="U107" i="2"/>
  <c r="T107" i="2"/>
  <c r="S107" i="2"/>
  <c r="R107" i="2"/>
  <c r="P107" i="2"/>
  <c r="O107" i="2"/>
  <c r="N107" i="2"/>
  <c r="M107" i="2"/>
  <c r="L107" i="2"/>
  <c r="J107" i="2"/>
  <c r="W106" i="2"/>
  <c r="H106" i="2"/>
  <c r="G106" i="2"/>
  <c r="C106" i="2"/>
  <c r="U105" i="2"/>
  <c r="T105" i="2"/>
  <c r="S105" i="2"/>
  <c r="R105" i="2"/>
  <c r="Q105" i="2"/>
  <c r="P105" i="2"/>
  <c r="O105" i="2"/>
  <c r="N105" i="2"/>
  <c r="M105" i="2"/>
  <c r="L105" i="2"/>
  <c r="W104" i="2"/>
  <c r="H104" i="2"/>
  <c r="G104" i="2"/>
  <c r="C104" i="2"/>
  <c r="V103" i="2"/>
  <c r="U103" i="2"/>
  <c r="T103" i="2"/>
  <c r="S103" i="2"/>
  <c r="R103" i="2"/>
  <c r="Q103" i="2"/>
  <c r="P103" i="2"/>
  <c r="N103" i="2"/>
  <c r="M103" i="2"/>
  <c r="L103" i="2"/>
  <c r="K103" i="2"/>
  <c r="W102" i="2"/>
  <c r="H102" i="2"/>
  <c r="G102" i="2"/>
  <c r="C102" i="2"/>
  <c r="U101" i="2"/>
  <c r="T101" i="2"/>
  <c r="S101" i="2"/>
  <c r="R101" i="2"/>
  <c r="Q101" i="2"/>
  <c r="O101" i="2"/>
  <c r="M101" i="2"/>
  <c r="L101" i="2"/>
  <c r="K101" i="2"/>
  <c r="W100" i="2"/>
  <c r="H100" i="2"/>
  <c r="G100" i="2"/>
  <c r="C100" i="2"/>
  <c r="T99" i="2"/>
  <c r="S99" i="2"/>
  <c r="R99" i="2"/>
  <c r="Q99" i="2"/>
  <c r="P99" i="2"/>
  <c r="O99" i="2"/>
  <c r="N99" i="2"/>
  <c r="M99" i="2"/>
  <c r="L99" i="2"/>
  <c r="K99" i="2"/>
  <c r="W98" i="2"/>
  <c r="H98" i="2"/>
  <c r="G98" i="2"/>
  <c r="C98" i="2"/>
  <c r="U97" i="2"/>
  <c r="T97" i="2"/>
  <c r="S97" i="2"/>
  <c r="R97" i="2"/>
  <c r="Q97" i="2"/>
  <c r="P97" i="2"/>
  <c r="O97" i="2"/>
  <c r="M97" i="2"/>
  <c r="K97" i="2"/>
  <c r="W96" i="2"/>
  <c r="H96" i="2"/>
  <c r="G96" i="2"/>
  <c r="C96" i="2"/>
  <c r="V95" i="2"/>
  <c r="U95" i="2"/>
  <c r="S95" i="2"/>
  <c r="R95" i="2"/>
  <c r="Q95" i="2"/>
  <c r="P95" i="2"/>
  <c r="O95" i="2"/>
  <c r="N95" i="2"/>
  <c r="M95" i="2"/>
  <c r="K95" i="2"/>
  <c r="J95" i="2"/>
  <c r="W94" i="2"/>
  <c r="H94" i="2"/>
  <c r="G94" i="2"/>
  <c r="C94" i="2"/>
  <c r="V93" i="2"/>
  <c r="U93" i="2"/>
  <c r="T93" i="2"/>
  <c r="S93" i="2"/>
  <c r="R93" i="2"/>
  <c r="Q93" i="2"/>
  <c r="P93" i="2"/>
  <c r="O93" i="2"/>
  <c r="N93" i="2"/>
  <c r="M93" i="2"/>
  <c r="K93" i="2"/>
  <c r="J93" i="2"/>
  <c r="W92" i="2"/>
  <c r="H92" i="2"/>
  <c r="G92" i="2"/>
  <c r="C92" i="2"/>
  <c r="V91" i="2"/>
  <c r="U91" i="2"/>
  <c r="T91" i="2"/>
  <c r="S91" i="2"/>
  <c r="R91" i="2"/>
  <c r="Q91" i="2"/>
  <c r="P91" i="2"/>
  <c r="O91" i="2"/>
  <c r="N91" i="2"/>
  <c r="M91" i="2"/>
  <c r="L91" i="2"/>
  <c r="J91" i="2"/>
  <c r="W90" i="2"/>
  <c r="H90" i="2"/>
  <c r="G90" i="2"/>
  <c r="C90" i="2"/>
  <c r="V89" i="2"/>
  <c r="U89" i="2"/>
  <c r="T89" i="2"/>
  <c r="R89" i="2"/>
  <c r="Q89" i="2"/>
  <c r="P89" i="2"/>
  <c r="O89" i="2"/>
  <c r="N89" i="2"/>
  <c r="M89" i="2"/>
  <c r="L89" i="2"/>
  <c r="K89" i="2"/>
  <c r="W88" i="2"/>
  <c r="H88" i="2"/>
  <c r="G88" i="2"/>
  <c r="C88" i="2"/>
  <c r="V87" i="2"/>
  <c r="U87" i="2"/>
  <c r="S87" i="2"/>
  <c r="R87" i="2"/>
  <c r="Q87" i="2"/>
  <c r="P87" i="2"/>
  <c r="O87" i="2"/>
  <c r="N87" i="2"/>
  <c r="M87" i="2"/>
  <c r="J87" i="2"/>
  <c r="W86" i="2"/>
  <c r="H86" i="2"/>
  <c r="G86" i="2"/>
  <c r="C86" i="2"/>
  <c r="V85" i="2"/>
  <c r="U85" i="2"/>
  <c r="S85" i="2"/>
  <c r="R85" i="2"/>
  <c r="Q85" i="2"/>
  <c r="O85" i="2"/>
  <c r="N85" i="2"/>
  <c r="M85" i="2"/>
  <c r="L85" i="2"/>
  <c r="K85" i="2"/>
  <c r="W84" i="2"/>
  <c r="H84" i="2"/>
  <c r="G84" i="2"/>
  <c r="C84" i="2"/>
  <c r="U83" i="2"/>
  <c r="T83" i="2"/>
  <c r="S83" i="2"/>
  <c r="R83" i="2"/>
  <c r="Q83" i="2"/>
  <c r="O83" i="2"/>
  <c r="M83" i="2"/>
  <c r="L83" i="2"/>
  <c r="W82" i="2"/>
  <c r="H82" i="2"/>
  <c r="G82" i="2"/>
  <c r="C82" i="2"/>
  <c r="V81" i="2"/>
  <c r="T81" i="2"/>
  <c r="S81" i="2"/>
  <c r="R81" i="2"/>
  <c r="Q81" i="2"/>
  <c r="P81" i="2"/>
  <c r="O81" i="2"/>
  <c r="N81" i="2"/>
  <c r="M81" i="2"/>
  <c r="L81" i="2"/>
  <c r="K81" i="2"/>
  <c r="W80" i="2"/>
  <c r="H80" i="2"/>
  <c r="G80" i="2"/>
  <c r="C80" i="2"/>
  <c r="V79" i="2"/>
  <c r="U79" i="2"/>
  <c r="T79" i="2"/>
  <c r="S79" i="2"/>
  <c r="Q79" i="2"/>
  <c r="P79" i="2"/>
  <c r="N79" i="2"/>
  <c r="M79" i="2"/>
  <c r="L79" i="2"/>
  <c r="K79" i="2"/>
  <c r="W78" i="2"/>
  <c r="H78" i="2"/>
  <c r="G78" i="2"/>
  <c r="C78" i="2"/>
  <c r="U77" i="2"/>
  <c r="T77" i="2"/>
  <c r="S77" i="2"/>
  <c r="R77" i="2"/>
  <c r="Q77" i="2"/>
  <c r="P77" i="2"/>
  <c r="O77" i="2"/>
  <c r="N77" i="2"/>
  <c r="L77" i="2"/>
  <c r="K77" i="2"/>
  <c r="J77" i="2"/>
  <c r="W76" i="2"/>
  <c r="H76" i="2"/>
  <c r="G76" i="2"/>
  <c r="C76" i="2"/>
  <c r="U75" i="2"/>
  <c r="T75" i="2"/>
  <c r="S75" i="2"/>
  <c r="R75" i="2"/>
  <c r="Q75" i="2"/>
  <c r="P75" i="2"/>
  <c r="O75" i="2"/>
  <c r="M75" i="2"/>
  <c r="L75" i="2"/>
  <c r="W74" i="2"/>
  <c r="H74" i="2"/>
  <c r="G74" i="2"/>
  <c r="C74" i="2"/>
  <c r="U73" i="2"/>
  <c r="T73" i="2"/>
  <c r="S73" i="2"/>
  <c r="R73" i="2"/>
  <c r="Q73" i="2"/>
  <c r="P73" i="2"/>
  <c r="O73" i="2"/>
  <c r="M73" i="2"/>
  <c r="L73" i="2"/>
  <c r="K73" i="2"/>
  <c r="W72" i="2"/>
  <c r="H72" i="2"/>
  <c r="G72" i="2"/>
  <c r="C72" i="2"/>
  <c r="V71" i="2"/>
  <c r="U71" i="2"/>
  <c r="T71" i="2"/>
  <c r="Q71" i="2"/>
  <c r="P71" i="2"/>
  <c r="O71" i="2"/>
  <c r="N71" i="2"/>
  <c r="M71" i="2"/>
  <c r="L71" i="2"/>
  <c r="K71" i="2"/>
  <c r="W70" i="2"/>
  <c r="H70" i="2"/>
  <c r="G70" i="2"/>
  <c r="C70" i="2"/>
  <c r="V69" i="2"/>
  <c r="U69" i="2"/>
  <c r="T69" i="2"/>
  <c r="S69" i="2"/>
  <c r="R69" i="2"/>
  <c r="Q69" i="2"/>
  <c r="P69" i="2"/>
  <c r="N69" i="2"/>
  <c r="M69" i="2"/>
  <c r="L69" i="2"/>
  <c r="K69" i="2"/>
  <c r="W68" i="2"/>
  <c r="H68" i="2"/>
  <c r="G68" i="2"/>
  <c r="C68" i="2"/>
  <c r="V67" i="2"/>
  <c r="U67" i="2"/>
  <c r="T67" i="2"/>
  <c r="S67" i="2"/>
  <c r="R67" i="2"/>
  <c r="P67" i="2"/>
  <c r="O67" i="2"/>
  <c r="N67" i="2"/>
  <c r="L67" i="2"/>
  <c r="K67" i="2"/>
  <c r="W66" i="2"/>
  <c r="H66" i="2"/>
  <c r="G66" i="2"/>
  <c r="C66" i="2"/>
  <c r="V65" i="2"/>
  <c r="U65" i="2"/>
  <c r="T65" i="2"/>
  <c r="S65" i="2"/>
  <c r="R65" i="2"/>
  <c r="Q65" i="2"/>
  <c r="P65" i="2"/>
  <c r="O65" i="2"/>
  <c r="N65" i="2"/>
  <c r="K65" i="2"/>
  <c r="W64" i="2"/>
  <c r="H64" i="2"/>
  <c r="G64" i="2"/>
  <c r="C64" i="2"/>
  <c r="V63" i="2"/>
  <c r="U63" i="2"/>
  <c r="R63" i="2"/>
  <c r="Q63" i="2"/>
  <c r="P63" i="2"/>
  <c r="O63" i="2"/>
  <c r="N63" i="2"/>
  <c r="M63" i="2"/>
  <c r="J63" i="2"/>
  <c r="W62" i="2"/>
  <c r="H62" i="2"/>
  <c r="G62" i="2"/>
  <c r="C62" i="2"/>
  <c r="V61" i="2"/>
  <c r="U61" i="2"/>
  <c r="T61" i="2"/>
  <c r="Q61" i="2"/>
  <c r="P61" i="2"/>
  <c r="O61" i="2"/>
  <c r="N61" i="2"/>
  <c r="M61" i="2"/>
  <c r="L61" i="2"/>
  <c r="J61" i="2"/>
  <c r="W60" i="2"/>
  <c r="H60" i="2"/>
  <c r="G60" i="2"/>
  <c r="C60" i="2"/>
  <c r="V59" i="2"/>
  <c r="U59" i="2"/>
  <c r="T59" i="2"/>
  <c r="S59" i="2"/>
  <c r="O59" i="2"/>
  <c r="N59" i="2"/>
  <c r="M59" i="2"/>
  <c r="L59" i="2"/>
  <c r="K59" i="2"/>
  <c r="J59" i="2"/>
  <c r="W58" i="2"/>
  <c r="H58" i="2"/>
  <c r="G58" i="2"/>
  <c r="C58" i="2"/>
  <c r="V57" i="2"/>
  <c r="U57" i="2"/>
  <c r="T57" i="2"/>
  <c r="S57" i="2"/>
  <c r="R57" i="2"/>
  <c r="M57" i="2"/>
  <c r="L57" i="2"/>
  <c r="K57" i="2"/>
  <c r="W56" i="2"/>
  <c r="H56" i="2"/>
  <c r="G56" i="2"/>
  <c r="C56" i="2"/>
  <c r="U55" i="2"/>
  <c r="T55" i="2"/>
  <c r="S55" i="2"/>
  <c r="R55" i="2"/>
  <c r="Q55" i="2"/>
  <c r="P55" i="2"/>
  <c r="M55" i="2"/>
  <c r="L55" i="2"/>
  <c r="K55" i="2"/>
  <c r="W54" i="2"/>
  <c r="H54" i="2"/>
  <c r="G54" i="2"/>
  <c r="C54" i="2"/>
  <c r="U53" i="2"/>
  <c r="T53" i="2"/>
  <c r="S53" i="2"/>
  <c r="R53" i="2"/>
  <c r="Q53" i="2"/>
  <c r="P53" i="2"/>
  <c r="K53" i="2"/>
  <c r="W52" i="2"/>
  <c r="H52" i="2"/>
  <c r="G52" i="2"/>
  <c r="C52" i="2"/>
  <c r="S51" i="2"/>
  <c r="R51" i="2"/>
  <c r="Q51" i="2"/>
  <c r="P51" i="2"/>
  <c r="O51" i="2"/>
  <c r="N51" i="2"/>
  <c r="L51" i="2"/>
  <c r="K51" i="2"/>
  <c r="J51" i="2"/>
  <c r="W50" i="2"/>
  <c r="H50" i="2"/>
  <c r="G50" i="2"/>
  <c r="C50" i="2"/>
  <c r="V49" i="2"/>
  <c r="U49" i="2"/>
  <c r="T49" i="2"/>
  <c r="S49" i="2"/>
  <c r="R49" i="2"/>
  <c r="Q49" i="2"/>
  <c r="P49" i="2"/>
  <c r="O49" i="2"/>
  <c r="N49" i="2"/>
  <c r="K49" i="2"/>
  <c r="J49" i="2"/>
  <c r="W48" i="2"/>
  <c r="H48" i="2"/>
  <c r="G48" i="2"/>
  <c r="C48" i="2"/>
  <c r="V47" i="2"/>
  <c r="U47" i="2"/>
  <c r="R47" i="2"/>
  <c r="Q47" i="2"/>
  <c r="O47" i="2"/>
  <c r="N47" i="2"/>
  <c r="M47" i="2"/>
  <c r="W46" i="2"/>
  <c r="H46" i="2"/>
  <c r="G46" i="2"/>
  <c r="C46" i="2"/>
  <c r="V45" i="2"/>
  <c r="T45" i="2"/>
  <c r="Q45" i="2"/>
  <c r="O45" i="2"/>
  <c r="N45" i="2"/>
  <c r="L45" i="2"/>
  <c r="J45" i="2"/>
  <c r="W44" i="2"/>
  <c r="H44" i="2"/>
  <c r="G44" i="2"/>
  <c r="C44" i="2"/>
  <c r="U43" i="2"/>
  <c r="S43" i="2"/>
  <c r="P43" i="2"/>
  <c r="M43" i="2"/>
  <c r="L43" i="2"/>
  <c r="K43" i="2"/>
  <c r="W42" i="2"/>
  <c r="H42" i="2"/>
  <c r="G42" i="2"/>
  <c r="C42" i="2"/>
  <c r="V41" i="2"/>
  <c r="U41" i="2"/>
  <c r="T41" i="2"/>
  <c r="S41" i="2"/>
  <c r="N41" i="2"/>
  <c r="M41" i="2"/>
  <c r="L41" i="2"/>
  <c r="K41" i="2"/>
  <c r="W40" i="2"/>
  <c r="H40" i="2"/>
  <c r="G40" i="2"/>
  <c r="C40" i="2"/>
  <c r="V39" i="2"/>
  <c r="U39" i="2"/>
  <c r="T39" i="2"/>
  <c r="S39" i="2"/>
  <c r="R39" i="2"/>
  <c r="Q39" i="2"/>
  <c r="P39" i="2"/>
  <c r="N39" i="2"/>
  <c r="L39" i="2"/>
  <c r="K39" i="2"/>
  <c r="W38" i="2"/>
  <c r="H38" i="2"/>
  <c r="G38" i="2"/>
  <c r="C38" i="2"/>
  <c r="U37" i="2"/>
  <c r="T37" i="2"/>
  <c r="R37" i="2"/>
  <c r="Q37" i="2"/>
  <c r="P37" i="2"/>
  <c r="L37" i="2"/>
  <c r="K37" i="2"/>
  <c r="W36" i="2"/>
  <c r="H36" i="2"/>
  <c r="G36" i="2"/>
  <c r="C36" i="2"/>
  <c r="P35" i="2"/>
  <c r="O35" i="2"/>
  <c r="L35" i="2"/>
  <c r="W34" i="2"/>
  <c r="H34" i="2"/>
  <c r="G34" i="2"/>
  <c r="C34" i="2"/>
  <c r="V33" i="2"/>
  <c r="U33" i="2"/>
  <c r="Q33" i="2"/>
  <c r="O33" i="2"/>
  <c r="M33" i="2"/>
  <c r="W32" i="2"/>
  <c r="H32" i="2"/>
  <c r="G32" i="2"/>
  <c r="C32" i="2"/>
  <c r="V31" i="2"/>
  <c r="R31" i="2"/>
  <c r="O31" i="2"/>
  <c r="N31" i="2"/>
  <c r="J31" i="2"/>
  <c r="W30" i="2"/>
  <c r="H30" i="2"/>
  <c r="G30" i="2"/>
  <c r="C30" i="2"/>
  <c r="U29" i="2"/>
  <c r="T29" i="2"/>
  <c r="O29" i="2"/>
  <c r="W28" i="2"/>
  <c r="H28" i="2"/>
  <c r="G28" i="2"/>
  <c r="C28" i="2"/>
  <c r="V27" i="2"/>
  <c r="U27" i="2"/>
  <c r="T27" i="2"/>
  <c r="N27" i="2"/>
  <c r="L27" i="2"/>
  <c r="W26" i="2"/>
  <c r="H26" i="2"/>
  <c r="G26" i="2"/>
  <c r="C26" i="2"/>
  <c r="V25" i="2"/>
  <c r="U25" i="2"/>
  <c r="M25" i="2"/>
  <c r="L25" i="2"/>
  <c r="W24" i="2"/>
  <c r="H24" i="2"/>
  <c r="G24" i="2"/>
  <c r="C24" i="2"/>
  <c r="V23" i="2"/>
  <c r="U23" i="2"/>
  <c r="T23" i="2"/>
  <c r="R23" i="2"/>
  <c r="M23" i="2"/>
  <c r="L23" i="2"/>
  <c r="W22" i="2"/>
  <c r="H22" i="2"/>
  <c r="G22" i="2"/>
  <c r="C22" i="2"/>
  <c r="U21" i="2"/>
  <c r="S21" i="2"/>
  <c r="Q21" i="2"/>
  <c r="P21" i="2"/>
  <c r="M21" i="2"/>
  <c r="W20" i="2"/>
  <c r="H20" i="2"/>
  <c r="G20" i="2"/>
  <c r="C20" i="2"/>
  <c r="T19" i="2"/>
  <c r="L19" i="2"/>
  <c r="W18" i="2"/>
  <c r="H18" i="2"/>
  <c r="G18" i="2"/>
  <c r="C18" i="2"/>
  <c r="V17" i="2"/>
  <c r="U17" i="2"/>
  <c r="T17" i="2"/>
  <c r="Q17" i="2"/>
  <c r="N17" i="2"/>
  <c r="L17" i="2"/>
  <c r="W16" i="2"/>
  <c r="H16" i="2"/>
  <c r="G16" i="2"/>
  <c r="C16" i="2"/>
  <c r="W14" i="2"/>
  <c r="H14" i="2"/>
  <c r="G14" i="2"/>
  <c r="C14" i="2"/>
  <c r="C24" i="1"/>
  <c r="W56" i="3" l="1"/>
  <c r="S120" i="3"/>
  <c r="AD120" i="3"/>
  <c r="AC154" i="3"/>
  <c r="U180" i="3"/>
  <c r="G219" i="3"/>
  <c r="M183" i="2" s="1"/>
  <c r="AC218" i="3"/>
  <c r="AD226" i="3"/>
  <c r="D227" i="3"/>
  <c r="J191" i="2" s="1"/>
  <c r="W66" i="3"/>
  <c r="T74" i="3"/>
  <c r="I75" i="3"/>
  <c r="O39" i="2" s="1"/>
  <c r="V78" i="3"/>
  <c r="X84" i="3"/>
  <c r="AA86" i="3"/>
  <c r="G87" i="3"/>
  <c r="M51" i="2" s="1"/>
  <c r="W100" i="3"/>
  <c r="X128" i="3"/>
  <c r="AD154" i="3"/>
  <c r="AD182" i="3"/>
  <c r="AA182" i="3"/>
  <c r="V182" i="3"/>
  <c r="AD190" i="3"/>
  <c r="AA198" i="3"/>
  <c r="H223" i="3"/>
  <c r="N187" i="2" s="1"/>
  <c r="U222" i="3"/>
  <c r="Z56" i="3"/>
  <c r="X58" i="3"/>
  <c r="U68" i="3"/>
  <c r="Y100" i="3"/>
  <c r="X126" i="3"/>
  <c r="AA148" i="3"/>
  <c r="F149" i="3"/>
  <c r="L113" i="2" s="1"/>
  <c r="T164" i="3"/>
  <c r="V166" i="3"/>
  <c r="D185" i="3"/>
  <c r="J149" i="2" s="1"/>
  <c r="V184" i="3"/>
  <c r="S184" i="3"/>
  <c r="Z202" i="3"/>
  <c r="T222" i="3"/>
  <c r="D115" i="3"/>
  <c r="J79" i="2" s="1"/>
  <c r="X114" i="3"/>
  <c r="Y188" i="3"/>
  <c r="V188" i="3"/>
  <c r="D207" i="3"/>
  <c r="J171" i="2" s="1"/>
  <c r="U206" i="3"/>
  <c r="G211" i="3"/>
  <c r="M175" i="2" s="1"/>
  <c r="V210" i="3"/>
  <c r="Z230" i="3"/>
  <c r="AC234" i="3"/>
  <c r="Z234" i="3"/>
  <c r="AB234" i="3"/>
  <c r="Z100" i="3"/>
  <c r="Z90" i="3"/>
  <c r="AD104" i="3"/>
  <c r="AD110" i="3"/>
  <c r="V118" i="3"/>
  <c r="AD128" i="3"/>
  <c r="W128" i="3"/>
  <c r="Y128" i="3"/>
  <c r="X150" i="3"/>
  <c r="W156" i="3"/>
  <c r="AC160" i="3"/>
  <c r="AD174" i="3"/>
  <c r="Z174" i="3"/>
  <c r="W174" i="3"/>
  <c r="T52" i="3"/>
  <c r="Y72" i="3"/>
  <c r="AD84" i="3"/>
  <c r="W84" i="3"/>
  <c r="Y84" i="3"/>
  <c r="AD100" i="3"/>
  <c r="X100" i="3"/>
  <c r="AD58" i="3"/>
  <c r="AA112" i="3"/>
  <c r="Z118" i="3"/>
  <c r="X136" i="3"/>
  <c r="AC138" i="3"/>
  <c r="X142" i="3"/>
  <c r="AA150" i="3"/>
  <c r="AC236" i="3"/>
  <c r="R84" i="3"/>
  <c r="V94" i="3"/>
  <c r="AD94" i="3"/>
  <c r="Y98" i="3"/>
  <c r="S134" i="3"/>
  <c r="AD138" i="3"/>
  <c r="AC144" i="3"/>
  <c r="AB150" i="3"/>
  <c r="AB158" i="3"/>
  <c r="E159" i="3"/>
  <c r="K123" i="2" s="1"/>
  <c r="Y200" i="3"/>
  <c r="W62" i="3"/>
  <c r="V64" i="3"/>
  <c r="X68" i="3"/>
  <c r="D71" i="3"/>
  <c r="J35" i="2" s="1"/>
  <c r="X70" i="3"/>
  <c r="Y82" i="3"/>
  <c r="AA102" i="3"/>
  <c r="U104" i="3"/>
  <c r="U108" i="3"/>
  <c r="AC110" i="3"/>
  <c r="Z110" i="3"/>
  <c r="Y110" i="3"/>
  <c r="X110" i="3"/>
  <c r="D111" i="3"/>
  <c r="J75" i="2" s="1"/>
  <c r="AB118" i="3"/>
  <c r="AC120" i="3"/>
  <c r="AD124" i="3"/>
  <c r="U140" i="3"/>
  <c r="D141" i="3"/>
  <c r="J105" i="2" s="1"/>
  <c r="D151" i="3"/>
  <c r="J115" i="2" s="1"/>
  <c r="Z150" i="3"/>
  <c r="AB154" i="3"/>
  <c r="AD212" i="3"/>
  <c r="E213" i="3"/>
  <c r="K177" i="2" s="1"/>
  <c r="W230" i="3"/>
  <c r="Y88" i="3"/>
  <c r="Y116" i="3"/>
  <c r="AB200" i="3"/>
  <c r="AA232" i="3"/>
  <c r="AD238" i="3"/>
  <c r="Y242" i="3"/>
  <c r="X212" i="3"/>
  <c r="Z244" i="3"/>
  <c r="Y86" i="3"/>
  <c r="AD102" i="3"/>
  <c r="AA118" i="3"/>
  <c r="S176" i="3"/>
  <c r="W210" i="3"/>
  <c r="AA236" i="3"/>
  <c r="X52" i="3"/>
  <c r="X64" i="3"/>
  <c r="AD78" i="3"/>
  <c r="X86" i="3"/>
  <c r="T90" i="3"/>
  <c r="X130" i="3"/>
  <c r="U134" i="3"/>
  <c r="W142" i="3"/>
  <c r="Y160" i="3"/>
  <c r="T180" i="3"/>
  <c r="R198" i="3"/>
  <c r="G201" i="3"/>
  <c r="M165" i="2" s="1"/>
  <c r="X216" i="3"/>
  <c r="AD230" i="3"/>
  <c r="F231" i="3"/>
  <c r="L195" i="2" s="1"/>
  <c r="V242" i="3"/>
  <c r="Y52" i="3"/>
  <c r="AC54" i="3"/>
  <c r="AC56" i="3"/>
  <c r="D79" i="3"/>
  <c r="J43" i="2" s="1"/>
  <c r="AD176" i="3"/>
  <c r="X208" i="3"/>
  <c r="X232" i="3"/>
  <c r="X242" i="3"/>
  <c r="N51" i="3"/>
  <c r="T15" i="2" s="1"/>
  <c r="AD50" i="3"/>
  <c r="V50" i="3"/>
  <c r="AC50" i="3"/>
  <c r="U50" i="3"/>
  <c r="H51" i="3" s="1"/>
  <c r="N15" i="2" s="1"/>
  <c r="AB50" i="3"/>
  <c r="T50" i="3"/>
  <c r="I51" i="3" s="1"/>
  <c r="O15" i="2" s="1"/>
  <c r="AA50" i="3"/>
  <c r="S50" i="3"/>
  <c r="Z50" i="3"/>
  <c r="R50" i="3"/>
  <c r="P51" i="3" s="1"/>
  <c r="V15" i="2" s="1"/>
  <c r="Y50" i="3"/>
  <c r="X50" i="3"/>
  <c r="D51" i="3"/>
  <c r="J15" i="2" s="1"/>
  <c r="W50" i="3"/>
  <c r="R54" i="3"/>
  <c r="AA54" i="3"/>
  <c r="V56" i="3"/>
  <c r="F57" i="3"/>
  <c r="L21" i="2" s="1"/>
  <c r="T58" i="3"/>
  <c r="T60" i="3"/>
  <c r="AD60" i="3"/>
  <c r="T62" i="3"/>
  <c r="AD62" i="3"/>
  <c r="U64" i="3"/>
  <c r="D65" i="3"/>
  <c r="J29" i="2" s="1"/>
  <c r="T66" i="3"/>
  <c r="S68" i="3"/>
  <c r="D69" i="3"/>
  <c r="J33" i="2" s="1"/>
  <c r="R70" i="3"/>
  <c r="Z72" i="3"/>
  <c r="S74" i="3"/>
  <c r="AC76" i="3"/>
  <c r="AB78" i="3"/>
  <c r="AB80" i="3"/>
  <c r="T80" i="3"/>
  <c r="AA80" i="3"/>
  <c r="S80" i="3"/>
  <c r="Z80" i="3"/>
  <c r="R80" i="3"/>
  <c r="Y80" i="3"/>
  <c r="X80" i="3"/>
  <c r="X82" i="3"/>
  <c r="Z88" i="3"/>
  <c r="S90" i="3"/>
  <c r="AC92" i="3"/>
  <c r="AB94" i="3"/>
  <c r="AB96" i="3"/>
  <c r="T96" i="3"/>
  <c r="AA96" i="3"/>
  <c r="S96" i="3"/>
  <c r="Z96" i="3"/>
  <c r="R96" i="3"/>
  <c r="Y96" i="3"/>
  <c r="X96" i="3"/>
  <c r="X98" i="3"/>
  <c r="T104" i="3"/>
  <c r="AA106" i="3"/>
  <c r="S106" i="3"/>
  <c r="Z106" i="3"/>
  <c r="R106" i="3"/>
  <c r="Y106" i="3"/>
  <c r="V106" i="3"/>
  <c r="U106" i="3"/>
  <c r="D107" i="3"/>
  <c r="J71" i="2" s="1"/>
  <c r="T106" i="3"/>
  <c r="AD106" i="3"/>
  <c r="AC106" i="3"/>
  <c r="S112" i="3"/>
  <c r="S114" i="3"/>
  <c r="U116" i="3"/>
  <c r="E123" i="3"/>
  <c r="K87" i="2" s="1"/>
  <c r="V122" i="3"/>
  <c r="U122" i="3"/>
  <c r="T122" i="3"/>
  <c r="AC124" i="3"/>
  <c r="S130" i="3"/>
  <c r="AB162" i="3"/>
  <c r="S54" i="3"/>
  <c r="AB54" i="3"/>
  <c r="Y58" i="3"/>
  <c r="D59" i="3"/>
  <c r="J23" i="2" s="1"/>
  <c r="W58" i="3"/>
  <c r="U58" i="3"/>
  <c r="E59" i="3"/>
  <c r="K23" i="2" s="1"/>
  <c r="U60" i="3"/>
  <c r="U62" i="3"/>
  <c r="E65" i="3"/>
  <c r="K29" i="2" s="1"/>
  <c r="V66" i="3"/>
  <c r="E67" i="3"/>
  <c r="K31" i="2" s="1"/>
  <c r="S70" i="3"/>
  <c r="AA72" i="3"/>
  <c r="AD76" i="3"/>
  <c r="AC78" i="3"/>
  <c r="AC80" i="3"/>
  <c r="AC82" i="3"/>
  <c r="R86" i="3"/>
  <c r="AA88" i="3"/>
  <c r="AD92" i="3"/>
  <c r="AC94" i="3"/>
  <c r="AC96" i="3"/>
  <c r="AC98" i="3"/>
  <c r="R102" i="3"/>
  <c r="T114" i="3"/>
  <c r="J121" i="3"/>
  <c r="P85" i="2" s="1"/>
  <c r="U120" i="3"/>
  <c r="T120" i="3"/>
  <c r="X152" i="3"/>
  <c r="D153" i="3"/>
  <c r="J117" i="2" s="1"/>
  <c r="W152" i="3"/>
  <c r="AD152" i="3"/>
  <c r="V152" i="3"/>
  <c r="Z152" i="3"/>
  <c r="R152" i="3"/>
  <c r="AC152" i="3"/>
  <c r="AB152" i="3"/>
  <c r="AA152" i="3"/>
  <c r="T152" i="3"/>
  <c r="S152" i="3"/>
  <c r="AD162" i="3"/>
  <c r="T162" i="3"/>
  <c r="X162" i="3"/>
  <c r="R162" i="3"/>
  <c r="E163" i="3"/>
  <c r="K127" i="2" s="1"/>
  <c r="Z162" i="3"/>
  <c r="Y162" i="3"/>
  <c r="W162" i="3"/>
  <c r="R166" i="3"/>
  <c r="R52" i="3"/>
  <c r="Z52" i="3"/>
  <c r="T54" i="3"/>
  <c r="Y56" i="3"/>
  <c r="H57" i="3"/>
  <c r="N21" i="2" s="1"/>
  <c r="Z60" i="3"/>
  <c r="R60" i="3"/>
  <c r="X60" i="3"/>
  <c r="V60" i="3"/>
  <c r="AA62" i="3"/>
  <c r="S62" i="3"/>
  <c r="Y62" i="3"/>
  <c r="V62" i="3"/>
  <c r="E63" i="3"/>
  <c r="K27" i="2" s="1"/>
  <c r="AB64" i="3"/>
  <c r="T64" i="3"/>
  <c r="Z64" i="3"/>
  <c r="R64" i="3"/>
  <c r="W64" i="3"/>
  <c r="AC66" i="3"/>
  <c r="AD68" i="3"/>
  <c r="V68" i="3"/>
  <c r="AB68" i="3"/>
  <c r="T68" i="3"/>
  <c r="W68" i="3"/>
  <c r="T70" i="3"/>
  <c r="AB72" i="3"/>
  <c r="Y74" i="3"/>
  <c r="X74" i="3"/>
  <c r="D75" i="3"/>
  <c r="J39" i="2" s="1"/>
  <c r="W74" i="3"/>
  <c r="AD74" i="3"/>
  <c r="V74" i="3"/>
  <c r="U74" i="3"/>
  <c r="S76" i="3"/>
  <c r="AD80" i="3"/>
  <c r="AB82" i="3"/>
  <c r="T82" i="3"/>
  <c r="AA82" i="3"/>
  <c r="S82" i="3"/>
  <c r="Z82" i="3"/>
  <c r="R82" i="3"/>
  <c r="AD82" i="3"/>
  <c r="S86" i="3"/>
  <c r="AB88" i="3"/>
  <c r="Y90" i="3"/>
  <c r="X90" i="3"/>
  <c r="D91" i="3"/>
  <c r="J55" i="2" s="1"/>
  <c r="W90" i="3"/>
  <c r="AD90" i="3"/>
  <c r="V90" i="3"/>
  <c r="U90" i="3"/>
  <c r="S92" i="3"/>
  <c r="AD96" i="3"/>
  <c r="AB98" i="3"/>
  <c r="T98" i="3"/>
  <c r="AA98" i="3"/>
  <c r="S98" i="3"/>
  <c r="Z98" i="3"/>
  <c r="R98" i="3"/>
  <c r="AD98" i="3"/>
  <c r="S102" i="3"/>
  <c r="Z104" i="3"/>
  <c r="R104" i="3"/>
  <c r="Y104" i="3"/>
  <c r="X104" i="3"/>
  <c r="AC104" i="3"/>
  <c r="AB104" i="3"/>
  <c r="AA104" i="3"/>
  <c r="W104" i="3"/>
  <c r="V104" i="3"/>
  <c r="X116" i="3"/>
  <c r="D117" i="3"/>
  <c r="J81" i="2" s="1"/>
  <c r="W116" i="3"/>
  <c r="AD116" i="3"/>
  <c r="V116" i="3"/>
  <c r="S116" i="3"/>
  <c r="AC116" i="3"/>
  <c r="R116" i="3"/>
  <c r="AB116" i="3"/>
  <c r="AA116" i="3"/>
  <c r="Z116" i="3"/>
  <c r="AB124" i="3"/>
  <c r="T124" i="3"/>
  <c r="AA124" i="3"/>
  <c r="S124" i="3"/>
  <c r="Z124" i="3"/>
  <c r="R124" i="3"/>
  <c r="Y124" i="3"/>
  <c r="W124" i="3"/>
  <c r="V124" i="3"/>
  <c r="U124" i="3"/>
  <c r="D125" i="3"/>
  <c r="J89" i="2" s="1"/>
  <c r="T136" i="3"/>
  <c r="AB144" i="3"/>
  <c r="T144" i="3"/>
  <c r="AA144" i="3"/>
  <c r="S144" i="3"/>
  <c r="Z144" i="3"/>
  <c r="R144" i="3"/>
  <c r="AD144" i="3"/>
  <c r="V144" i="3"/>
  <c r="U144" i="3"/>
  <c r="D145" i="3"/>
  <c r="J109" i="2" s="1"/>
  <c r="X144" i="3"/>
  <c r="W144" i="3"/>
  <c r="I215" i="3"/>
  <c r="O179" i="2" s="1"/>
  <c r="X214" i="3"/>
  <c r="Z214" i="3"/>
  <c r="Y214" i="3"/>
  <c r="S214" i="3"/>
  <c r="R214" i="3"/>
  <c r="AB224" i="3"/>
  <c r="T224" i="3"/>
  <c r="AA224" i="3"/>
  <c r="S224" i="3"/>
  <c r="Z224" i="3"/>
  <c r="R224" i="3"/>
  <c r="Y224" i="3"/>
  <c r="V224" i="3"/>
  <c r="U224" i="3"/>
  <c r="AC224" i="3"/>
  <c r="W224" i="3"/>
  <c r="AD224" i="3"/>
  <c r="X224" i="3"/>
  <c r="D225" i="3"/>
  <c r="J189" i="2" s="1"/>
  <c r="S52" i="3"/>
  <c r="AA52" i="3"/>
  <c r="D55" i="3"/>
  <c r="J19" i="2" s="1"/>
  <c r="W54" i="3"/>
  <c r="U54" i="3"/>
  <c r="AD54" i="3"/>
  <c r="W60" i="3"/>
  <c r="AA66" i="3"/>
  <c r="S66" i="3"/>
  <c r="X66" i="3"/>
  <c r="T76" i="3"/>
  <c r="T92" i="3"/>
  <c r="U136" i="3"/>
  <c r="K187" i="3"/>
  <c r="Q151" i="2" s="1"/>
  <c r="AC186" i="3"/>
  <c r="AB186" i="3"/>
  <c r="W186" i="3"/>
  <c r="I197" i="3"/>
  <c r="O161" i="2" s="1"/>
  <c r="V196" i="3"/>
  <c r="S196" i="3"/>
  <c r="R196" i="3"/>
  <c r="AB52" i="3"/>
  <c r="V54" i="3"/>
  <c r="R56" i="3"/>
  <c r="AA56" i="3"/>
  <c r="Z58" i="3"/>
  <c r="Y60" i="3"/>
  <c r="X62" i="3"/>
  <c r="Y64" i="3"/>
  <c r="Y66" i="3"/>
  <c r="Y68" i="3"/>
  <c r="AD70" i="3"/>
  <c r="V70" i="3"/>
  <c r="AB70" i="3"/>
  <c r="Y70" i="3"/>
  <c r="R72" i="3"/>
  <c r="AA74" i="3"/>
  <c r="U76" i="3"/>
  <c r="T78" i="3"/>
  <c r="E83" i="3"/>
  <c r="K47" i="2" s="1"/>
  <c r="R88" i="3"/>
  <c r="AA90" i="3"/>
  <c r="U92" i="3"/>
  <c r="T94" i="3"/>
  <c r="E99" i="3"/>
  <c r="K63" i="2" s="1"/>
  <c r="AA100" i="3"/>
  <c r="S100" i="3"/>
  <c r="AB102" i="3"/>
  <c r="D105" i="3"/>
  <c r="J69" i="2" s="1"/>
  <c r="V108" i="3"/>
  <c r="Z112" i="3"/>
  <c r="E119" i="3"/>
  <c r="K83" i="2" s="1"/>
  <c r="T118" i="3"/>
  <c r="AD118" i="3"/>
  <c r="S118" i="3"/>
  <c r="AC118" i="3"/>
  <c r="R118" i="3"/>
  <c r="AB122" i="3"/>
  <c r="Y126" i="3"/>
  <c r="T134" i="3"/>
  <c r="Z148" i="3"/>
  <c r="W148" i="3"/>
  <c r="S148" i="3"/>
  <c r="F159" i="3"/>
  <c r="L123" i="2" s="1"/>
  <c r="X158" i="3"/>
  <c r="V158" i="3"/>
  <c r="AD158" i="3"/>
  <c r="T158" i="3"/>
  <c r="U52" i="3"/>
  <c r="AC52" i="3"/>
  <c r="X54" i="3"/>
  <c r="S56" i="3"/>
  <c r="AB56" i="3"/>
  <c r="AA58" i="3"/>
  <c r="AA60" i="3"/>
  <c r="Z62" i="3"/>
  <c r="AA64" i="3"/>
  <c r="Z66" i="3"/>
  <c r="Z68" i="3"/>
  <c r="Z70" i="3"/>
  <c r="S72" i="3"/>
  <c r="H73" i="3"/>
  <c r="N37" i="2" s="1"/>
  <c r="AB74" i="3"/>
  <c r="Z76" i="3"/>
  <c r="R76" i="3"/>
  <c r="Y76" i="3"/>
  <c r="X76" i="3"/>
  <c r="D77" i="3"/>
  <c r="J41" i="2" s="1"/>
  <c r="W76" i="3"/>
  <c r="V76" i="3"/>
  <c r="U78" i="3"/>
  <c r="U80" i="3"/>
  <c r="AD86" i="3"/>
  <c r="Z86" i="3"/>
  <c r="S88" i="3"/>
  <c r="H89" i="3"/>
  <c r="N53" i="2" s="1"/>
  <c r="AB90" i="3"/>
  <c r="Z92" i="3"/>
  <c r="R92" i="3"/>
  <c r="Y92" i="3"/>
  <c r="X92" i="3"/>
  <c r="D93" i="3"/>
  <c r="J57" i="2" s="1"/>
  <c r="W92" i="3"/>
  <c r="V92" i="3"/>
  <c r="U94" i="3"/>
  <c r="U96" i="3"/>
  <c r="AC102" i="3"/>
  <c r="W106" i="3"/>
  <c r="W108" i="3"/>
  <c r="W110" i="3"/>
  <c r="V110" i="3"/>
  <c r="E111" i="3"/>
  <c r="K75" i="2" s="1"/>
  <c r="R110" i="3"/>
  <c r="Y112" i="3"/>
  <c r="X112" i="3"/>
  <c r="G113" i="3"/>
  <c r="M77" i="2" s="1"/>
  <c r="W112" i="3"/>
  <c r="AB114" i="3"/>
  <c r="AC122" i="3"/>
  <c r="AD126" i="3"/>
  <c r="Y132" i="3"/>
  <c r="T132" i="3"/>
  <c r="H133" i="3"/>
  <c r="N97" i="2" s="1"/>
  <c r="S132" i="3"/>
  <c r="R132" i="3"/>
  <c r="K143" i="3"/>
  <c r="Q107" i="2" s="1"/>
  <c r="AD142" i="3"/>
  <c r="AB142" i="3"/>
  <c r="R148" i="3"/>
  <c r="AA162" i="3"/>
  <c r="X172" i="3"/>
  <c r="AD172" i="3"/>
  <c r="E173" i="3"/>
  <c r="K137" i="2" s="1"/>
  <c r="AC172" i="3"/>
  <c r="U172" i="3"/>
  <c r="V52" i="3"/>
  <c r="AD52" i="3"/>
  <c r="Y54" i="3"/>
  <c r="T56" i="3"/>
  <c r="R58" i="3"/>
  <c r="AB58" i="3"/>
  <c r="AB60" i="3"/>
  <c r="AB62" i="3"/>
  <c r="AC64" i="3"/>
  <c r="AB66" i="3"/>
  <c r="AA68" i="3"/>
  <c r="AA70" i="3"/>
  <c r="T72" i="3"/>
  <c r="AC74" i="3"/>
  <c r="AA76" i="3"/>
  <c r="V80" i="3"/>
  <c r="V82" i="3"/>
  <c r="F85" i="3"/>
  <c r="L49" i="2" s="1"/>
  <c r="T88" i="3"/>
  <c r="AC90" i="3"/>
  <c r="AA92" i="3"/>
  <c r="V96" i="3"/>
  <c r="V98" i="3"/>
  <c r="F101" i="3"/>
  <c r="L65" i="2" s="1"/>
  <c r="X106" i="3"/>
  <c r="AD122" i="3"/>
  <c r="AC126" i="3"/>
  <c r="AA130" i="3"/>
  <c r="Z130" i="3"/>
  <c r="Y130" i="3"/>
  <c r="Z132" i="3"/>
  <c r="Y134" i="3"/>
  <c r="X134" i="3"/>
  <c r="D135" i="3"/>
  <c r="J99" i="2" s="1"/>
  <c r="W134" i="3"/>
  <c r="AD134" i="3"/>
  <c r="V134" i="3"/>
  <c r="R134" i="3"/>
  <c r="AC134" i="3"/>
  <c r="AB134" i="3"/>
  <c r="AA134" i="3"/>
  <c r="Z134" i="3"/>
  <c r="J137" i="3"/>
  <c r="P101" i="2" s="1"/>
  <c r="U138" i="3"/>
  <c r="I139" i="3"/>
  <c r="O103" i="2" s="1"/>
  <c r="R138" i="3"/>
  <c r="E141" i="3"/>
  <c r="K105" i="2" s="1"/>
  <c r="V140" i="3"/>
  <c r="S140" i="3"/>
  <c r="AD140" i="3"/>
  <c r="AC140" i="3"/>
  <c r="AA140" i="3"/>
  <c r="U152" i="3"/>
  <c r="Z156" i="3"/>
  <c r="R156" i="3"/>
  <c r="Y156" i="3"/>
  <c r="X156" i="3"/>
  <c r="AB156" i="3"/>
  <c r="T156" i="3"/>
  <c r="D157" i="3"/>
  <c r="J121" i="2" s="1"/>
  <c r="AD156" i="3"/>
  <c r="AC156" i="3"/>
  <c r="AA156" i="3"/>
  <c r="U156" i="3"/>
  <c r="S156" i="3"/>
  <c r="I165" i="3"/>
  <c r="O129" i="2" s="1"/>
  <c r="U164" i="3"/>
  <c r="R164" i="3"/>
  <c r="W52" i="3"/>
  <c r="Z54" i="3"/>
  <c r="X56" i="3"/>
  <c r="AD56" i="3"/>
  <c r="U56" i="3"/>
  <c r="D57" i="3"/>
  <c r="J21" i="2" s="1"/>
  <c r="S58" i="3"/>
  <c r="AC58" i="3"/>
  <c r="S60" i="3"/>
  <c r="AC60" i="3"/>
  <c r="R62" i="3"/>
  <c r="AC62" i="3"/>
  <c r="S64" i="3"/>
  <c r="AD64" i="3"/>
  <c r="R66" i="3"/>
  <c r="AD66" i="3"/>
  <c r="R68" i="3"/>
  <c r="AC68" i="3"/>
  <c r="E71" i="3"/>
  <c r="K35" i="2" s="1"/>
  <c r="X72" i="3"/>
  <c r="R74" i="3"/>
  <c r="AB76" i="3"/>
  <c r="AA78" i="3"/>
  <c r="S78" i="3"/>
  <c r="Z78" i="3"/>
  <c r="R78" i="3"/>
  <c r="Y78" i="3"/>
  <c r="X78" i="3"/>
  <c r="W78" i="3"/>
  <c r="W80" i="3"/>
  <c r="W82" i="3"/>
  <c r="X88" i="3"/>
  <c r="R90" i="3"/>
  <c r="AB92" i="3"/>
  <c r="AA94" i="3"/>
  <c r="S94" i="3"/>
  <c r="Z94" i="3"/>
  <c r="R94" i="3"/>
  <c r="Y94" i="3"/>
  <c r="X94" i="3"/>
  <c r="W94" i="3"/>
  <c r="W96" i="3"/>
  <c r="W98" i="3"/>
  <c r="R100" i="3"/>
  <c r="G103" i="3"/>
  <c r="M67" i="2" s="1"/>
  <c r="T102" i="3"/>
  <c r="S104" i="3"/>
  <c r="AB106" i="3"/>
  <c r="R112" i="3"/>
  <c r="I115" i="3"/>
  <c r="O79" i="2" s="1"/>
  <c r="Y114" i="3"/>
  <c r="R114" i="3"/>
  <c r="T116" i="3"/>
  <c r="X124" i="3"/>
  <c r="Z126" i="3"/>
  <c r="R126" i="3"/>
  <c r="W126" i="3"/>
  <c r="V126" i="3"/>
  <c r="E127" i="3"/>
  <c r="K91" i="2" s="1"/>
  <c r="R130" i="3"/>
  <c r="AA132" i="3"/>
  <c r="Y144" i="3"/>
  <c r="Y152" i="3"/>
  <c r="F241" i="3"/>
  <c r="L205" i="2" s="1"/>
  <c r="AC240" i="3"/>
  <c r="W240" i="3"/>
  <c r="U240" i="3"/>
  <c r="E155" i="3"/>
  <c r="K119" i="2" s="1"/>
  <c r="U154" i="3"/>
  <c r="T154" i="3"/>
  <c r="R154" i="3"/>
  <c r="AB160" i="3"/>
  <c r="T160" i="3"/>
  <c r="AA160" i="3"/>
  <c r="S160" i="3"/>
  <c r="Z160" i="3"/>
  <c r="R160" i="3"/>
  <c r="AD160" i="3"/>
  <c r="V160" i="3"/>
  <c r="X160" i="3"/>
  <c r="W160" i="3"/>
  <c r="U160" i="3"/>
  <c r="U72" i="3"/>
  <c r="AC72" i="3"/>
  <c r="S84" i="3"/>
  <c r="AA84" i="3"/>
  <c r="T86" i="3"/>
  <c r="AB86" i="3"/>
  <c r="U88" i="3"/>
  <c r="AC88" i="3"/>
  <c r="AB108" i="3"/>
  <c r="T108" i="3"/>
  <c r="AA108" i="3"/>
  <c r="S108" i="3"/>
  <c r="Z108" i="3"/>
  <c r="R108" i="3"/>
  <c r="X108" i="3"/>
  <c r="AA128" i="3"/>
  <c r="S128" i="3"/>
  <c r="AA142" i="3"/>
  <c r="R146" i="3"/>
  <c r="AD164" i="3"/>
  <c r="V164" i="3"/>
  <c r="Z164" i="3"/>
  <c r="Y164" i="3"/>
  <c r="X164" i="3"/>
  <c r="AB164" i="3"/>
  <c r="S164" i="3"/>
  <c r="D165" i="3"/>
  <c r="J129" i="2" s="1"/>
  <c r="AC164" i="3"/>
  <c r="AA164" i="3"/>
  <c r="W164" i="3"/>
  <c r="Z166" i="3"/>
  <c r="I169" i="3"/>
  <c r="O133" i="2" s="1"/>
  <c r="T168" i="3"/>
  <c r="R168" i="3"/>
  <c r="AA170" i="3"/>
  <c r="S170" i="3"/>
  <c r="Z170" i="3"/>
  <c r="R170" i="3"/>
  <c r="Y170" i="3"/>
  <c r="AD170" i="3"/>
  <c r="V170" i="3"/>
  <c r="D171" i="3"/>
  <c r="J135" i="2" s="1"/>
  <c r="AC170" i="3"/>
  <c r="AB170" i="3"/>
  <c r="T170" i="3"/>
  <c r="X170" i="3"/>
  <c r="W170" i="3"/>
  <c r="U170" i="3"/>
  <c r="H179" i="3"/>
  <c r="N143" i="2" s="1"/>
  <c r="AB178" i="3"/>
  <c r="Y182" i="3"/>
  <c r="X182" i="3"/>
  <c r="D183" i="3"/>
  <c r="J147" i="2" s="1"/>
  <c r="W182" i="3"/>
  <c r="AB182" i="3"/>
  <c r="T182" i="3"/>
  <c r="U182" i="3"/>
  <c r="S182" i="3"/>
  <c r="R182" i="3"/>
  <c r="Z182" i="3"/>
  <c r="AC182" i="3"/>
  <c r="U70" i="3"/>
  <c r="AC70" i="3"/>
  <c r="V72" i="3"/>
  <c r="AD72" i="3"/>
  <c r="T84" i="3"/>
  <c r="AB84" i="3"/>
  <c r="U86" i="3"/>
  <c r="AC86" i="3"/>
  <c r="V88" i="3"/>
  <c r="AD88" i="3"/>
  <c r="T100" i="3"/>
  <c r="AB100" i="3"/>
  <c r="Y102" i="3"/>
  <c r="X102" i="3"/>
  <c r="D103" i="3"/>
  <c r="J67" i="2" s="1"/>
  <c r="W102" i="3"/>
  <c r="U102" i="3"/>
  <c r="Y108" i="3"/>
  <c r="AD112" i="3"/>
  <c r="Z114" i="3"/>
  <c r="Z120" i="3"/>
  <c r="R120" i="3"/>
  <c r="Y120" i="3"/>
  <c r="X120" i="3"/>
  <c r="D121" i="3"/>
  <c r="J85" i="2" s="1"/>
  <c r="W120" i="3"/>
  <c r="V120" i="3"/>
  <c r="V130" i="3"/>
  <c r="D137" i="3"/>
  <c r="J101" i="2" s="1"/>
  <c r="W136" i="3"/>
  <c r="AD136" i="3"/>
  <c r="V136" i="3"/>
  <c r="Z136" i="3"/>
  <c r="R136" i="3"/>
  <c r="S136" i="3"/>
  <c r="AC136" i="3"/>
  <c r="AB136" i="3"/>
  <c r="AA136" i="3"/>
  <c r="Y136" i="3"/>
  <c r="V142" i="3"/>
  <c r="T142" i="3"/>
  <c r="E143" i="3"/>
  <c r="K107" i="2" s="1"/>
  <c r="V146" i="3"/>
  <c r="AC168" i="3"/>
  <c r="Y178" i="3"/>
  <c r="X180" i="3"/>
  <c r="D181" i="3"/>
  <c r="J145" i="2" s="1"/>
  <c r="W180" i="3"/>
  <c r="AD180" i="3"/>
  <c r="V180" i="3"/>
  <c r="AA180" i="3"/>
  <c r="S180" i="3"/>
  <c r="AC180" i="3"/>
  <c r="AB180" i="3"/>
  <c r="Z180" i="3"/>
  <c r="R180" i="3"/>
  <c r="Y180" i="3"/>
  <c r="W72" i="3"/>
  <c r="D73" i="3"/>
  <c r="J37" i="2" s="1"/>
  <c r="U84" i="3"/>
  <c r="AC84" i="3"/>
  <c r="V86" i="3"/>
  <c r="W88" i="3"/>
  <c r="D89" i="3"/>
  <c r="J53" i="2" s="1"/>
  <c r="U100" i="3"/>
  <c r="AC100" i="3"/>
  <c r="V102" i="3"/>
  <c r="AC108" i="3"/>
  <c r="AA114" i="3"/>
  <c r="AA120" i="3"/>
  <c r="F129" i="3"/>
  <c r="L93" i="2" s="1"/>
  <c r="X146" i="3"/>
  <c r="T150" i="3"/>
  <c r="S150" i="3"/>
  <c r="G151" i="3"/>
  <c r="M115" i="2" s="1"/>
  <c r="R150" i="3"/>
  <c r="Y166" i="3"/>
  <c r="AD168" i="3"/>
  <c r="J177" i="3"/>
  <c r="P141" i="2" s="1"/>
  <c r="X176" i="3"/>
  <c r="W176" i="3"/>
  <c r="Z228" i="3"/>
  <c r="R228" i="3"/>
  <c r="W228" i="3"/>
  <c r="F229" i="3"/>
  <c r="L193" i="2" s="1"/>
  <c r="Y228" i="3"/>
  <c r="X228" i="3"/>
  <c r="U66" i="3"/>
  <c r="W70" i="3"/>
  <c r="U82" i="3"/>
  <c r="V84" i="3"/>
  <c r="W86" i="3"/>
  <c r="U98" i="3"/>
  <c r="V100" i="3"/>
  <c r="Z102" i="3"/>
  <c r="AD108" i="3"/>
  <c r="Y118" i="3"/>
  <c r="X118" i="3"/>
  <c r="D119" i="3"/>
  <c r="J83" i="2" s="1"/>
  <c r="W118" i="3"/>
  <c r="U118" i="3"/>
  <c r="AB120" i="3"/>
  <c r="AA122" i="3"/>
  <c r="S122" i="3"/>
  <c r="Z122" i="3"/>
  <c r="R122" i="3"/>
  <c r="Y122" i="3"/>
  <c r="X122" i="3"/>
  <c r="W122" i="3"/>
  <c r="R128" i="3"/>
  <c r="AB130" i="3"/>
  <c r="T130" i="3"/>
  <c r="X132" i="3"/>
  <c r="AC146" i="3"/>
  <c r="Y146" i="3"/>
  <c r="Z154" i="3"/>
  <c r="U168" i="3"/>
  <c r="T184" i="3"/>
  <c r="F193" i="3"/>
  <c r="L157" i="2" s="1"/>
  <c r="Y192" i="3"/>
  <c r="S192" i="3"/>
  <c r="R192" i="3"/>
  <c r="X192" i="3"/>
  <c r="E205" i="3"/>
  <c r="K169" i="2" s="1"/>
  <c r="AA204" i="3"/>
  <c r="V204" i="3"/>
  <c r="R204" i="3"/>
  <c r="AB204" i="3"/>
  <c r="G213" i="3"/>
  <c r="M177" i="2" s="1"/>
  <c r="Z212" i="3"/>
  <c r="Y212" i="3"/>
  <c r="E221" i="3"/>
  <c r="K185" i="2" s="1"/>
  <c r="AB220" i="3"/>
  <c r="AA220" i="3"/>
  <c r="U220" i="3"/>
  <c r="AB188" i="3"/>
  <c r="T188" i="3"/>
  <c r="AA188" i="3"/>
  <c r="S188" i="3"/>
  <c r="Z188" i="3"/>
  <c r="R188" i="3"/>
  <c r="D189" i="3"/>
  <c r="J153" i="2" s="1"/>
  <c r="W188" i="3"/>
  <c r="AD188" i="3"/>
  <c r="AC188" i="3"/>
  <c r="U188" i="3"/>
  <c r="Y190" i="3"/>
  <c r="W190" i="3"/>
  <c r="AB194" i="3"/>
  <c r="AA194" i="3"/>
  <c r="H195" i="3"/>
  <c r="N159" i="2" s="1"/>
  <c r="S194" i="3"/>
  <c r="U132" i="3"/>
  <c r="AC132" i="3"/>
  <c r="Z146" i="3"/>
  <c r="AC178" i="3"/>
  <c r="AD184" i="3"/>
  <c r="T194" i="3"/>
  <c r="J207" i="3"/>
  <c r="P171" i="2" s="1"/>
  <c r="AD206" i="3"/>
  <c r="S206" i="3"/>
  <c r="T206" i="3"/>
  <c r="AB206" i="3"/>
  <c r="AC206" i="3"/>
  <c r="E239" i="3"/>
  <c r="K203" i="2" s="1"/>
  <c r="AB238" i="3"/>
  <c r="V238" i="3"/>
  <c r="T238" i="3"/>
  <c r="S110" i="3"/>
  <c r="AA110" i="3"/>
  <c r="T112" i="3"/>
  <c r="AB112" i="3"/>
  <c r="U114" i="3"/>
  <c r="AC114" i="3"/>
  <c r="S126" i="3"/>
  <c r="AA126" i="3"/>
  <c r="T128" i="3"/>
  <c r="AB128" i="3"/>
  <c r="U130" i="3"/>
  <c r="AC130" i="3"/>
  <c r="V132" i="3"/>
  <c r="AD132" i="3"/>
  <c r="Y138" i="3"/>
  <c r="X138" i="3"/>
  <c r="D139" i="3"/>
  <c r="J103" i="2" s="1"/>
  <c r="W138" i="3"/>
  <c r="AA138" i="3"/>
  <c r="S138" i="3"/>
  <c r="V138" i="3"/>
  <c r="AD146" i="3"/>
  <c r="AD148" i="3"/>
  <c r="Y148" i="3"/>
  <c r="W158" i="3"/>
  <c r="AB166" i="3"/>
  <c r="E175" i="3"/>
  <c r="K139" i="2" s="1"/>
  <c r="V174" i="3"/>
  <c r="R174" i="3"/>
  <c r="Y174" i="3"/>
  <c r="W192" i="3"/>
  <c r="X194" i="3"/>
  <c r="W196" i="3"/>
  <c r="H217" i="3"/>
  <c r="N181" i="2" s="1"/>
  <c r="T216" i="3"/>
  <c r="S216" i="3"/>
  <c r="R216" i="3"/>
  <c r="AA216" i="3"/>
  <c r="AB216" i="3"/>
  <c r="Z216" i="3"/>
  <c r="Y216" i="3"/>
  <c r="T110" i="3"/>
  <c r="AB110" i="3"/>
  <c r="U112" i="3"/>
  <c r="AC112" i="3"/>
  <c r="V114" i="3"/>
  <c r="AD114" i="3"/>
  <c r="T126" i="3"/>
  <c r="AB126" i="3"/>
  <c r="U128" i="3"/>
  <c r="AC128" i="3"/>
  <c r="AD130" i="3"/>
  <c r="W132" i="3"/>
  <c r="D133" i="3"/>
  <c r="J97" i="2" s="1"/>
  <c r="Z138" i="3"/>
  <c r="AA158" i="3"/>
  <c r="AC166" i="3"/>
  <c r="T166" i="3"/>
  <c r="X166" i="3"/>
  <c r="AA166" i="3"/>
  <c r="X168" i="3"/>
  <c r="Z168" i="3"/>
  <c r="Y168" i="3"/>
  <c r="W168" i="3"/>
  <c r="AB168" i="3"/>
  <c r="S168" i="3"/>
  <c r="V168" i="3"/>
  <c r="R190" i="3"/>
  <c r="Z192" i="3"/>
  <c r="Y194" i="3"/>
  <c r="Z204" i="3"/>
  <c r="AA214" i="3"/>
  <c r="T220" i="3"/>
  <c r="Y226" i="3"/>
  <c r="E227" i="3"/>
  <c r="K191" i="2" s="1"/>
  <c r="X226" i="3"/>
  <c r="W226" i="3"/>
  <c r="V226" i="3"/>
  <c r="U110" i="3"/>
  <c r="V112" i="3"/>
  <c r="W114" i="3"/>
  <c r="U126" i="3"/>
  <c r="V128" i="3"/>
  <c r="W130" i="3"/>
  <c r="AB138" i="3"/>
  <c r="Z140" i="3"/>
  <c r="R140" i="3"/>
  <c r="Y140" i="3"/>
  <c r="X140" i="3"/>
  <c r="AB140" i="3"/>
  <c r="T140" i="3"/>
  <c r="W140" i="3"/>
  <c r="Y154" i="3"/>
  <c r="X154" i="3"/>
  <c r="D155" i="3"/>
  <c r="J119" i="2" s="1"/>
  <c r="W154" i="3"/>
  <c r="AA154" i="3"/>
  <c r="S154" i="3"/>
  <c r="V154" i="3"/>
  <c r="E167" i="3"/>
  <c r="K131" i="2" s="1"/>
  <c r="AA168" i="3"/>
  <c r="V172" i="3"/>
  <c r="G179" i="3"/>
  <c r="M143" i="2" s="1"/>
  <c r="X178" i="3"/>
  <c r="T178" i="3"/>
  <c r="S178" i="3"/>
  <c r="AA178" i="3"/>
  <c r="V190" i="3"/>
  <c r="AA192" i="3"/>
  <c r="AC204" i="3"/>
  <c r="AB208" i="3"/>
  <c r="F223" i="3"/>
  <c r="L187" i="2" s="1"/>
  <c r="AD222" i="3"/>
  <c r="AC222" i="3"/>
  <c r="U142" i="3"/>
  <c r="AC142" i="3"/>
  <c r="W146" i="3"/>
  <c r="D147" i="3"/>
  <c r="J111" i="2" s="1"/>
  <c r="X148" i="3"/>
  <c r="Y150" i="3"/>
  <c r="U158" i="3"/>
  <c r="AC158" i="3"/>
  <c r="AC174" i="3"/>
  <c r="R176" i="3"/>
  <c r="W178" i="3"/>
  <c r="AA186" i="3"/>
  <c r="S186" i="3"/>
  <c r="Z186" i="3"/>
  <c r="R186" i="3"/>
  <c r="Y186" i="3"/>
  <c r="AD186" i="3"/>
  <c r="V186" i="3"/>
  <c r="X186" i="3"/>
  <c r="AD192" i="3"/>
  <c r="Y198" i="3"/>
  <c r="X202" i="3"/>
  <c r="D203" i="3"/>
  <c r="J167" i="2" s="1"/>
  <c r="W202" i="3"/>
  <c r="AD202" i="3"/>
  <c r="V202" i="3"/>
  <c r="S202" i="3"/>
  <c r="AC202" i="3"/>
  <c r="R202" i="3"/>
  <c r="AB202" i="3"/>
  <c r="Y202" i="3"/>
  <c r="AA202" i="3"/>
  <c r="T204" i="3"/>
  <c r="E209" i="3"/>
  <c r="K173" i="2" s="1"/>
  <c r="AC212" i="3"/>
  <c r="AC226" i="3"/>
  <c r="Y142" i="3"/>
  <c r="S146" i="3"/>
  <c r="AA146" i="3"/>
  <c r="T148" i="3"/>
  <c r="AB148" i="3"/>
  <c r="U150" i="3"/>
  <c r="AC150" i="3"/>
  <c r="Y158" i="3"/>
  <c r="S162" i="3"/>
  <c r="S166" i="3"/>
  <c r="Z176" i="3"/>
  <c r="Z184" i="3"/>
  <c r="W184" i="3"/>
  <c r="W194" i="3"/>
  <c r="AC196" i="3"/>
  <c r="W198" i="3"/>
  <c r="T200" i="3"/>
  <c r="R200" i="3"/>
  <c r="I201" i="3"/>
  <c r="O165" i="2" s="1"/>
  <c r="U208" i="3"/>
  <c r="S218" i="3"/>
  <c r="F245" i="3"/>
  <c r="L209" i="2" s="1"/>
  <c r="Y244" i="3"/>
  <c r="W244" i="3"/>
  <c r="R142" i="3"/>
  <c r="Z142" i="3"/>
  <c r="T146" i="3"/>
  <c r="AB146" i="3"/>
  <c r="U148" i="3"/>
  <c r="AC148" i="3"/>
  <c r="V150" i="3"/>
  <c r="AD150" i="3"/>
  <c r="R158" i="3"/>
  <c r="Z158" i="3"/>
  <c r="AA176" i="3"/>
  <c r="AA184" i="3"/>
  <c r="T186" i="3"/>
  <c r="AC190" i="3"/>
  <c r="Z196" i="3"/>
  <c r="Y196" i="3"/>
  <c r="X196" i="3"/>
  <c r="AD196" i="3"/>
  <c r="T196" i="3"/>
  <c r="AA196" i="3"/>
  <c r="X198" i="3"/>
  <c r="S200" i="3"/>
  <c r="T202" i="3"/>
  <c r="V208" i="3"/>
  <c r="X210" i="3"/>
  <c r="T218" i="3"/>
  <c r="V222" i="3"/>
  <c r="AD236" i="3"/>
  <c r="V236" i="3"/>
  <c r="AB236" i="3"/>
  <c r="T236" i="3"/>
  <c r="Z236" i="3"/>
  <c r="R236" i="3"/>
  <c r="Y236" i="3"/>
  <c r="X236" i="3"/>
  <c r="D237" i="3"/>
  <c r="J201" i="2" s="1"/>
  <c r="W236" i="3"/>
  <c r="U236" i="3"/>
  <c r="S236" i="3"/>
  <c r="S142" i="3"/>
  <c r="U146" i="3"/>
  <c r="V148" i="3"/>
  <c r="W150" i="3"/>
  <c r="S158" i="3"/>
  <c r="AC162" i="3"/>
  <c r="U162" i="3"/>
  <c r="V162" i="3"/>
  <c r="D163" i="3"/>
  <c r="J127" i="2" s="1"/>
  <c r="D167" i="3"/>
  <c r="J131" i="2" s="1"/>
  <c r="W166" i="3"/>
  <c r="U166" i="3"/>
  <c r="AD166" i="3"/>
  <c r="AB172" i="3"/>
  <c r="T172" i="3"/>
  <c r="AA172" i="3"/>
  <c r="S172" i="3"/>
  <c r="Z172" i="3"/>
  <c r="R172" i="3"/>
  <c r="D173" i="3"/>
  <c r="J137" i="2" s="1"/>
  <c r="W172" i="3"/>
  <c r="Y172" i="3"/>
  <c r="AB184" i="3"/>
  <c r="U186" i="3"/>
  <c r="Z190" i="3"/>
  <c r="G195" i="3"/>
  <c r="M159" i="2" s="1"/>
  <c r="Z194" i="3"/>
  <c r="R194" i="3"/>
  <c r="AB196" i="3"/>
  <c r="AC198" i="3"/>
  <c r="Z198" i="3"/>
  <c r="X200" i="3"/>
  <c r="U202" i="3"/>
  <c r="AD214" i="3"/>
  <c r="AB218" i="3"/>
  <c r="AD228" i="3"/>
  <c r="AA230" i="3"/>
  <c r="S230" i="3"/>
  <c r="Y230" i="3"/>
  <c r="X230" i="3"/>
  <c r="R230" i="3"/>
  <c r="X174" i="3"/>
  <c r="Y176" i="3"/>
  <c r="R178" i="3"/>
  <c r="Z178" i="3"/>
  <c r="U184" i="3"/>
  <c r="AC184" i="3"/>
  <c r="X190" i="3"/>
  <c r="AA208" i="3"/>
  <c r="S208" i="3"/>
  <c r="Z208" i="3"/>
  <c r="R208" i="3"/>
  <c r="Y208" i="3"/>
  <c r="W208" i="3"/>
  <c r="R218" i="3"/>
  <c r="Z220" i="3"/>
  <c r="R220" i="3"/>
  <c r="Y220" i="3"/>
  <c r="X220" i="3"/>
  <c r="D221" i="3"/>
  <c r="J185" i="2" s="1"/>
  <c r="W220" i="3"/>
  <c r="V220" i="3"/>
  <c r="AC228" i="3"/>
  <c r="AD242" i="3"/>
  <c r="S174" i="3"/>
  <c r="AA174" i="3"/>
  <c r="T176" i="3"/>
  <c r="AB176" i="3"/>
  <c r="U178" i="3"/>
  <c r="X184" i="3"/>
  <c r="S190" i="3"/>
  <c r="AA190" i="3"/>
  <c r="T192" i="3"/>
  <c r="AB192" i="3"/>
  <c r="U194" i="3"/>
  <c r="AC194" i="3"/>
  <c r="S198" i="3"/>
  <c r="AB198" i="3"/>
  <c r="Z200" i="3"/>
  <c r="S204" i="3"/>
  <c r="AD204" i="3"/>
  <c r="Z206" i="3"/>
  <c r="R206" i="3"/>
  <c r="Y206" i="3"/>
  <c r="X206" i="3"/>
  <c r="V206" i="3"/>
  <c r="AC208" i="3"/>
  <c r="R212" i="3"/>
  <c r="W214" i="3"/>
  <c r="Y218" i="3"/>
  <c r="X218" i="3"/>
  <c r="D219" i="3"/>
  <c r="J183" i="2" s="1"/>
  <c r="W218" i="3"/>
  <c r="AD218" i="3"/>
  <c r="V218" i="3"/>
  <c r="U218" i="3"/>
  <c r="AC220" i="3"/>
  <c r="AB232" i="3"/>
  <c r="T232" i="3"/>
  <c r="Z232" i="3"/>
  <c r="R232" i="3"/>
  <c r="T174" i="3"/>
  <c r="AB174" i="3"/>
  <c r="U176" i="3"/>
  <c r="AC176" i="3"/>
  <c r="V178" i="3"/>
  <c r="AD178" i="3"/>
  <c r="Y184" i="3"/>
  <c r="T190" i="3"/>
  <c r="AB190" i="3"/>
  <c r="U192" i="3"/>
  <c r="AC192" i="3"/>
  <c r="V194" i="3"/>
  <c r="AD194" i="3"/>
  <c r="T198" i="3"/>
  <c r="AA200" i="3"/>
  <c r="W206" i="3"/>
  <c r="AD208" i="3"/>
  <c r="AC210" i="3"/>
  <c r="U210" i="3"/>
  <c r="AB210" i="3"/>
  <c r="T210" i="3"/>
  <c r="AA210" i="3"/>
  <c r="S210" i="3"/>
  <c r="Z210" i="3"/>
  <c r="R210" i="3"/>
  <c r="Y210" i="3"/>
  <c r="W212" i="3"/>
  <c r="Z218" i="3"/>
  <c r="AD220" i="3"/>
  <c r="AA222" i="3"/>
  <c r="S222" i="3"/>
  <c r="Z222" i="3"/>
  <c r="R222" i="3"/>
  <c r="Y222" i="3"/>
  <c r="X222" i="3"/>
  <c r="W222" i="3"/>
  <c r="S232" i="3"/>
  <c r="S234" i="3"/>
  <c r="R234" i="3"/>
  <c r="X240" i="3"/>
  <c r="AD240" i="3"/>
  <c r="V240" i="3"/>
  <c r="AB240" i="3"/>
  <c r="T240" i="3"/>
  <c r="AA240" i="3"/>
  <c r="S240" i="3"/>
  <c r="Z240" i="3"/>
  <c r="R240" i="3"/>
  <c r="Y240" i="3"/>
  <c r="D241" i="3"/>
  <c r="J205" i="2" s="1"/>
  <c r="U174" i="3"/>
  <c r="V176" i="3"/>
  <c r="R184" i="3"/>
  <c r="U190" i="3"/>
  <c r="V192" i="3"/>
  <c r="AD198" i="3"/>
  <c r="V198" i="3"/>
  <c r="U198" i="3"/>
  <c r="D199" i="3"/>
  <c r="J163" i="2" s="1"/>
  <c r="Y204" i="3"/>
  <c r="X204" i="3"/>
  <c r="D205" i="3"/>
  <c r="J169" i="2" s="1"/>
  <c r="W204" i="3"/>
  <c r="U204" i="3"/>
  <c r="AA206" i="3"/>
  <c r="T208" i="3"/>
  <c r="D209" i="3"/>
  <c r="J173" i="2" s="1"/>
  <c r="AD210" i="3"/>
  <c r="AA218" i="3"/>
  <c r="S220" i="3"/>
  <c r="AB222" i="3"/>
  <c r="Y232" i="3"/>
  <c r="T234" i="3"/>
  <c r="AC244" i="3"/>
  <c r="U200" i="3"/>
  <c r="AC200" i="3"/>
  <c r="S212" i="3"/>
  <c r="AA212" i="3"/>
  <c r="T214" i="3"/>
  <c r="AB214" i="3"/>
  <c r="U216" i="3"/>
  <c r="AC216" i="3"/>
  <c r="R226" i="3"/>
  <c r="Z226" i="3"/>
  <c r="S228" i="3"/>
  <c r="AA228" i="3"/>
  <c r="T230" i="3"/>
  <c r="AB230" i="3"/>
  <c r="U232" i="3"/>
  <c r="AC232" i="3"/>
  <c r="V234" i="3"/>
  <c r="AD234" i="3"/>
  <c r="X238" i="3"/>
  <c r="R242" i="3"/>
  <c r="Z242" i="3"/>
  <c r="S244" i="3"/>
  <c r="AA244" i="3"/>
  <c r="T246" i="3"/>
  <c r="AB246" i="3"/>
  <c r="V200" i="3"/>
  <c r="AD200" i="3"/>
  <c r="T212" i="3"/>
  <c r="AB212" i="3"/>
  <c r="U214" i="3"/>
  <c r="AC214" i="3"/>
  <c r="V216" i="3"/>
  <c r="AD216" i="3"/>
  <c r="S226" i="3"/>
  <c r="AA226" i="3"/>
  <c r="T228" i="3"/>
  <c r="AB228" i="3"/>
  <c r="U230" i="3"/>
  <c r="AC230" i="3"/>
  <c r="V232" i="3"/>
  <c r="AD232" i="3"/>
  <c r="W234" i="3"/>
  <c r="D235" i="3"/>
  <c r="J199" i="2" s="1"/>
  <c r="Y238" i="3"/>
  <c r="S242" i="3"/>
  <c r="AA242" i="3"/>
  <c r="T244" i="3"/>
  <c r="AB244" i="3"/>
  <c r="U246" i="3"/>
  <c r="AC246" i="3"/>
  <c r="U196" i="3"/>
  <c r="W200" i="3"/>
  <c r="U212" i="3"/>
  <c r="V214" i="3"/>
  <c r="W216" i="3"/>
  <c r="T226" i="3"/>
  <c r="AB226" i="3"/>
  <c r="U228" i="3"/>
  <c r="V230" i="3"/>
  <c r="W232" i="3"/>
  <c r="X234" i="3"/>
  <c r="R238" i="3"/>
  <c r="Z238" i="3"/>
  <c r="T242" i="3"/>
  <c r="AB242" i="3"/>
  <c r="U244" i="3"/>
  <c r="V246" i="3"/>
  <c r="AD246" i="3"/>
  <c r="V212" i="3"/>
  <c r="U226" i="3"/>
  <c r="V228" i="3"/>
  <c r="Y234" i="3"/>
  <c r="S238" i="3"/>
  <c r="AA238" i="3"/>
  <c r="U242" i="3"/>
  <c r="AC242" i="3"/>
  <c r="V244" i="3"/>
  <c r="AD244" i="3"/>
  <c r="W246" i="3"/>
  <c r="D247" i="3"/>
  <c r="J211" i="2" s="1"/>
  <c r="X246" i="3"/>
  <c r="AA234" i="3"/>
  <c r="U238" i="3"/>
  <c r="AC238" i="3"/>
  <c r="W242" i="3"/>
  <c r="X244" i="3"/>
  <c r="E245" i="3"/>
  <c r="K209" i="2" s="1"/>
  <c r="Y246" i="3"/>
  <c r="R246" i="3"/>
  <c r="Z246" i="3"/>
  <c r="U234" i="3"/>
  <c r="W238" i="3"/>
  <c r="R244" i="3"/>
  <c r="S246" i="3"/>
  <c r="L51" i="3" l="1"/>
  <c r="R15" i="2" s="1"/>
  <c r="K51" i="3"/>
  <c r="Q15" i="2" s="1"/>
  <c r="G51" i="3"/>
  <c r="M15" i="2" s="1"/>
  <c r="F51" i="3"/>
  <c r="L15" i="2" s="1"/>
  <c r="M51" i="3"/>
  <c r="S15" i="2" s="1"/>
  <c r="J51" i="3"/>
  <c r="P15" i="2" s="1"/>
  <c r="E51" i="3"/>
  <c r="K15" i="2" s="1"/>
  <c r="O51" i="3"/>
  <c r="U15" i="2" s="1"/>
</calcChain>
</file>

<file path=xl/sharedStrings.xml><?xml version="1.0" encoding="utf-8"?>
<sst xmlns="http://schemas.openxmlformats.org/spreadsheetml/2006/main" count="89" uniqueCount="59">
  <si>
    <t>PERSONENDATEN.</t>
  </si>
  <si>
    <t>Personendaten</t>
  </si>
  <si>
    <t>Kontakt</t>
  </si>
  <si>
    <t>Sonstiges</t>
  </si>
  <si>
    <t>Messungen</t>
  </si>
  <si>
    <t>Vorname</t>
  </si>
  <si>
    <t>Konstante</t>
  </si>
  <si>
    <t>Strasse</t>
  </si>
  <si>
    <t>Gewicht</t>
  </si>
  <si>
    <t>Größe</t>
  </si>
  <si>
    <t>Grund-
funktion</t>
  </si>
  <si>
    <t>Beruf</t>
  </si>
  <si>
    <t>Wochentag</t>
  </si>
  <si>
    <t>Name</t>
  </si>
  <si>
    <t>PLZ</t>
  </si>
  <si>
    <t>Erkrankungen</t>
  </si>
  <si>
    <t>Uhrzeit</t>
  </si>
  <si>
    <t>Geschlecht (m/w)</t>
  </si>
  <si>
    <t>m</t>
  </si>
  <si>
    <t>Stadt</t>
  </si>
  <si>
    <t>TRACKING.</t>
  </si>
  <si>
    <t>Geburtsdatum</t>
  </si>
  <si>
    <t>Telefon</t>
  </si>
  <si>
    <t>Alter</t>
  </si>
  <si>
    <t>Email</t>
  </si>
  <si>
    <t>b</t>
  </si>
  <si>
    <t>Datum</t>
  </si>
  <si>
    <t>Muskel</t>
  </si>
  <si>
    <t>KfA</t>
  </si>
  <si>
    <t>Kinn</t>
  </si>
  <si>
    <t>Wange</t>
  </si>
  <si>
    <t>Brust</t>
  </si>
  <si>
    <t>Trizeps</t>
  </si>
  <si>
    <t>Rücken</t>
  </si>
  <si>
    <t>Rippe</t>
  </si>
  <si>
    <t>Hüfte</t>
  </si>
  <si>
    <t>Bauch</t>
  </si>
  <si>
    <t>Knie</t>
  </si>
  <si>
    <t>Wade</t>
  </si>
  <si>
    <t>v. Obers.</t>
  </si>
  <si>
    <t>h. Obers.</t>
  </si>
  <si>
    <t>Bizeps</t>
  </si>
  <si>
    <t>SUMME</t>
  </si>
  <si>
    <t>cm</t>
  </si>
  <si>
    <t>kg</t>
  </si>
  <si>
    <t>%</t>
  </si>
  <si>
    <t>mm</t>
  </si>
  <si>
    <t>Körperfettmessung - Verlauf</t>
  </si>
  <si>
    <t>Soll-Wertebereich</t>
  </si>
  <si>
    <t>Rating</t>
  </si>
  <si>
    <t>Schulter-
blatt</t>
  </si>
  <si>
    <t>Waden</t>
  </si>
  <si>
    <t>v. Ober-
schenkel</t>
  </si>
  <si>
    <t>h. Ober-
schenkel</t>
  </si>
  <si>
    <t>Männer</t>
  </si>
  <si>
    <t>MIN</t>
  </si>
  <si>
    <t>MITTEL</t>
  </si>
  <si>
    <t>MAX</t>
  </si>
  <si>
    <t>Frauen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</si>
</sst>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9">
    <font>
      <sz val="11"/>
      <color theme="1"/>
      <name val="Calibri"/>
      <scheme val="minor"/>
    </font>
    <font>
      <sz val="11"/>
      <color rgb="FF000000"/>
      <name val="Avenir"/>
      <family val="2"/>
    </font>
    <font>
      <sz val="18"/>
      <color rgb="FF92253A"/>
      <name val="Avenir"/>
      <family val="2"/>
    </font>
    <font>
      <sz val="11"/>
      <color theme="1"/>
      <name val="Avenir"/>
      <family val="2"/>
    </font>
    <font>
      <sz val="11"/>
      <name val="Calibri"/>
      <family val="2"/>
    </font>
    <font>
      <sz val="11"/>
      <color rgb="FFF2F2F2"/>
      <name val="Avenir"/>
      <family val="2"/>
    </font>
    <font>
      <sz val="18"/>
      <color rgb="FF000000"/>
      <name val="Avenir"/>
      <family val="2"/>
    </font>
    <font>
      <u/>
      <sz val="11"/>
      <color theme="10"/>
      <name val="Avenir"/>
      <family val="2"/>
    </font>
    <font>
      <sz val="9"/>
      <color rgb="FF000000"/>
      <name val="Avenir"/>
      <family val="2"/>
    </font>
    <font>
      <sz val="11"/>
      <color rgb="FF000000"/>
      <name val="Arial"/>
      <family val="2"/>
    </font>
    <font>
      <b/>
      <sz val="12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9"/>
      <color theme="1"/>
      <name val="Avenir"/>
      <family val="2"/>
    </font>
    <font>
      <i/>
      <sz val="11"/>
      <color rgb="FF000000"/>
      <name val="Arial"/>
      <family val="2"/>
    </font>
    <font>
      <b/>
      <sz val="9"/>
      <color rgb="FF000000"/>
      <name val="Arial"/>
      <family val="2"/>
    </font>
    <font>
      <b/>
      <sz val="16"/>
      <color rgb="FF000000"/>
      <name val="Arial"/>
      <family val="2"/>
    </font>
    <font>
      <b/>
      <sz val="11"/>
      <color rgb="FF000000"/>
      <name val="Arial"/>
      <family val="2"/>
    </font>
    <font>
      <sz val="8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5F5F9"/>
        <bgColor rgb="FFF5F5F9"/>
      </patternFill>
    </fill>
    <fill>
      <patternFill patternType="solid">
        <fgColor rgb="FFF5F5FA"/>
        <bgColor rgb="FFF5F5FA"/>
      </patternFill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</fills>
  <borders count="3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rgb="FFF5F5FA"/>
      </left>
      <right style="thick">
        <color rgb="FFF5F5FA"/>
      </right>
      <top style="thick">
        <color rgb="FFF5F5FA"/>
      </top>
      <bottom style="thick">
        <color rgb="FFF5F5FA"/>
      </bottom>
      <diagonal/>
    </border>
    <border>
      <left style="thick">
        <color rgb="FFF5F5FA"/>
      </left>
      <right style="thick">
        <color rgb="FFF5F5FA"/>
      </right>
      <top style="thick">
        <color rgb="FFF5F5FA"/>
      </top>
      <bottom/>
      <diagonal/>
    </border>
    <border>
      <left style="thick">
        <color rgb="FFF5F5FA"/>
      </left>
      <right/>
      <top style="thick">
        <color rgb="FFF5F5FA"/>
      </top>
      <bottom style="thick">
        <color rgb="FFF5F5FA"/>
      </bottom>
      <diagonal/>
    </border>
    <border>
      <left/>
      <right style="thick">
        <color rgb="FFF5F5FA"/>
      </right>
      <top style="thick">
        <color rgb="FFF5F5FA"/>
      </top>
      <bottom/>
      <diagonal/>
    </border>
    <border>
      <left style="thick">
        <color rgb="FFF5F5FA"/>
      </left>
      <right style="thick">
        <color rgb="FFF5F5FA"/>
      </right>
      <top/>
      <bottom style="thick">
        <color rgb="FFF5F5FA"/>
      </bottom>
      <diagonal/>
    </border>
    <border>
      <left style="thick">
        <color rgb="FFF5F5FA"/>
      </left>
      <right style="thick">
        <color rgb="FFF5F5FA"/>
      </right>
      <top/>
      <bottom style="thick">
        <color rgb="FFF5F5FA"/>
      </bottom>
      <diagonal/>
    </border>
    <border>
      <left/>
      <right style="thick">
        <color rgb="FFF5F5FA"/>
      </right>
      <top/>
      <bottom style="thick">
        <color rgb="FFF5F5FA"/>
      </bottom>
      <diagonal/>
    </border>
    <border>
      <left style="thick">
        <color rgb="FFF2F2F2"/>
      </left>
      <right style="thick">
        <color rgb="FFF2F2F2"/>
      </right>
      <top style="thick">
        <color rgb="FFF2F2F2"/>
      </top>
      <bottom style="thick">
        <color rgb="FFF2F2F2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ck">
        <color rgb="FFF2F2F2"/>
      </bottom>
      <diagonal/>
    </border>
    <border>
      <left/>
      <right/>
      <top/>
      <bottom style="thick">
        <color rgb="FFF2F2F2"/>
      </bottom>
      <diagonal/>
    </border>
    <border>
      <left/>
      <right/>
      <top/>
      <bottom style="thick">
        <color rgb="FFF2F2F2"/>
      </bottom>
      <diagonal/>
    </border>
    <border>
      <left/>
      <right style="thick">
        <color rgb="FFF2F2F2"/>
      </right>
      <top/>
      <bottom/>
      <diagonal/>
    </border>
    <border>
      <left/>
      <right/>
      <top style="thick">
        <color rgb="FFF2F2F2"/>
      </top>
      <bottom/>
      <diagonal/>
    </border>
    <border>
      <left/>
      <right style="thick">
        <color rgb="FFF2F2F2"/>
      </right>
      <top/>
      <bottom/>
      <diagonal/>
    </border>
    <border>
      <left style="thick">
        <color rgb="FFF2F2F2"/>
      </left>
      <right style="thick">
        <color rgb="FFF2F2F2"/>
      </right>
      <top style="thick">
        <color rgb="FFF2F2F2"/>
      </top>
      <bottom/>
      <diagonal/>
    </border>
    <border>
      <left/>
      <right style="thick">
        <color rgb="FFF2F2F2"/>
      </right>
      <top/>
      <bottom/>
      <diagonal/>
    </border>
    <border>
      <left style="thick">
        <color rgb="FFF2F2F2"/>
      </left>
      <right style="thick">
        <color rgb="FFF2F2F2"/>
      </right>
      <top/>
      <bottom style="thick">
        <color rgb="FFF2F2F2"/>
      </bottom>
      <diagonal/>
    </border>
    <border>
      <left/>
      <right/>
      <top/>
      <bottom style="thick">
        <color rgb="FFF2F2F2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right"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center" vertical="top" textRotation="90" wrapText="1"/>
    </xf>
    <xf numFmtId="0" fontId="5" fillId="3" borderId="1" xfId="0" applyFont="1" applyFill="1" applyBorder="1" applyAlignment="1">
      <alignment vertical="center"/>
    </xf>
    <xf numFmtId="49" fontId="1" fillId="4" borderId="1" xfId="0" applyNumberFormat="1" applyFont="1" applyFill="1" applyBorder="1"/>
    <xf numFmtId="49" fontId="1" fillId="4" borderId="1" xfId="0" applyNumberFormat="1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 vertical="top" textRotation="90" wrapText="1"/>
    </xf>
    <xf numFmtId="164" fontId="1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vertical="center"/>
    </xf>
    <xf numFmtId="164" fontId="1" fillId="3" borderId="1" xfId="0" applyNumberFormat="1" applyFont="1" applyFill="1" applyBorder="1" applyAlignment="1">
      <alignment horizontal="center" vertical="center"/>
    </xf>
    <xf numFmtId="49" fontId="7" fillId="4" borderId="1" xfId="0" applyNumberFormat="1" applyFont="1" applyFill="1" applyBorder="1"/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vertical="top"/>
    </xf>
    <xf numFmtId="0" fontId="8" fillId="3" borderId="1" xfId="0" applyFont="1" applyFill="1" applyBorder="1" applyAlignment="1">
      <alignment horizontal="left" vertical="top"/>
    </xf>
    <xf numFmtId="0" fontId="8" fillId="3" borderId="1" xfId="0" applyFont="1" applyFill="1" applyBorder="1" applyAlignment="1">
      <alignment horizontal="center" vertical="top"/>
    </xf>
    <xf numFmtId="0" fontId="1" fillId="3" borderId="7" xfId="0" applyFont="1" applyFill="1" applyBorder="1" applyAlignment="1">
      <alignment vertical="center"/>
    </xf>
    <xf numFmtId="0" fontId="9" fillId="5" borderId="1" xfId="0" applyFont="1" applyFill="1" applyBorder="1" applyAlignment="1">
      <alignment vertical="center"/>
    </xf>
    <xf numFmtId="0" fontId="9" fillId="5" borderId="1" xfId="0" applyFont="1" applyFill="1" applyBorder="1" applyAlignment="1">
      <alignment horizontal="right" vertical="center"/>
    </xf>
    <xf numFmtId="0" fontId="10" fillId="5" borderId="1" xfId="0" applyFont="1" applyFill="1" applyBorder="1" applyAlignment="1">
      <alignment vertical="center"/>
    </xf>
    <xf numFmtId="0" fontId="1" fillId="3" borderId="9" xfId="0" applyFont="1" applyFill="1" applyBorder="1" applyAlignment="1">
      <alignment vertical="center"/>
    </xf>
    <xf numFmtId="165" fontId="9" fillId="0" borderId="7" xfId="0" applyNumberFormat="1" applyFont="1" applyBorder="1" applyAlignment="1">
      <alignment horizontal="center" vertical="center"/>
    </xf>
    <xf numFmtId="0" fontId="8" fillId="3" borderId="7" xfId="0" applyFont="1" applyFill="1" applyBorder="1" applyAlignment="1">
      <alignment vertical="center"/>
    </xf>
    <xf numFmtId="164" fontId="12" fillId="5" borderId="1" xfId="0" applyNumberFormat="1" applyFont="1" applyFill="1" applyBorder="1" applyAlignment="1">
      <alignment horizontal="center" vertical="center" wrapText="1"/>
    </xf>
    <xf numFmtId="0" fontId="13" fillId="3" borderId="12" xfId="0" applyFont="1" applyFill="1" applyBorder="1" applyAlignment="1">
      <alignment horizontal="center" vertical="top"/>
    </xf>
    <xf numFmtId="0" fontId="12" fillId="5" borderId="1" xfId="0" applyFont="1" applyFill="1" applyBorder="1" applyAlignment="1">
      <alignment vertical="center"/>
    </xf>
    <xf numFmtId="164" fontId="11" fillId="5" borderId="1" xfId="0" applyNumberFormat="1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left" vertical="center"/>
    </xf>
    <xf numFmtId="0" fontId="9" fillId="5" borderId="1" xfId="0" applyFont="1" applyFill="1" applyBorder="1" applyAlignment="1">
      <alignment vertical="top"/>
    </xf>
    <xf numFmtId="0" fontId="9" fillId="5" borderId="1" xfId="0" applyFont="1" applyFill="1" applyBorder="1" applyAlignment="1">
      <alignment horizontal="center" vertical="top" wrapText="1"/>
    </xf>
    <xf numFmtId="0" fontId="15" fillId="5" borderId="1" xfId="0" applyFont="1" applyFill="1" applyBorder="1" applyAlignment="1">
      <alignment vertical="top"/>
    </xf>
    <xf numFmtId="0" fontId="15" fillId="5" borderId="1" xfId="0" applyFont="1" applyFill="1" applyBorder="1" applyAlignment="1">
      <alignment horizontal="center" vertical="top"/>
    </xf>
    <xf numFmtId="165" fontId="9" fillId="5" borderId="14" xfId="0" applyNumberFormat="1" applyFont="1" applyFill="1" applyBorder="1" applyAlignment="1">
      <alignment horizontal="center" vertical="center"/>
    </xf>
    <xf numFmtId="165" fontId="9" fillId="5" borderId="1" xfId="0" applyNumberFormat="1" applyFont="1" applyFill="1" applyBorder="1" applyAlignment="1">
      <alignment horizontal="center" vertical="center"/>
    </xf>
    <xf numFmtId="0" fontId="16" fillId="5" borderId="1" xfId="0" applyFont="1" applyFill="1" applyBorder="1" applyAlignment="1">
      <alignment vertical="top"/>
    </xf>
    <xf numFmtId="0" fontId="17" fillId="5" borderId="1" xfId="0" applyFont="1" applyFill="1" applyBorder="1" applyAlignment="1">
      <alignment horizontal="center" vertical="top" textRotation="90" wrapText="1"/>
    </xf>
    <xf numFmtId="2" fontId="15" fillId="5" borderId="14" xfId="0" applyNumberFormat="1" applyFont="1" applyFill="1" applyBorder="1" applyAlignment="1">
      <alignment horizontal="center" vertical="center"/>
    </xf>
    <xf numFmtId="2" fontId="9" fillId="5" borderId="14" xfId="0" applyNumberFormat="1" applyFont="1" applyFill="1" applyBorder="1" applyAlignment="1">
      <alignment horizontal="center" vertical="center"/>
    </xf>
    <xf numFmtId="0" fontId="18" fillId="5" borderId="14" xfId="0" applyFont="1" applyFill="1" applyBorder="1" applyAlignment="1">
      <alignment horizontal="center" vertical="top"/>
    </xf>
    <xf numFmtId="0" fontId="1" fillId="4" borderId="2" xfId="0" applyFont="1" applyFill="1" applyBorder="1" applyAlignment="1">
      <alignment horizontal="left"/>
    </xf>
    <xf numFmtId="0" fontId="4" fillId="0" borderId="3" xfId="0" applyFont="1" applyBorder="1"/>
    <xf numFmtId="49" fontId="1" fillId="4" borderId="2" xfId="0" applyNumberFormat="1" applyFont="1" applyFill="1" applyBorder="1" applyAlignment="1">
      <alignment horizontal="left" vertical="center"/>
    </xf>
    <xf numFmtId="0" fontId="1" fillId="4" borderId="4" xfId="0" applyFont="1" applyFill="1" applyBorder="1" applyAlignment="1">
      <alignment horizontal="left" vertical="top" wrapText="1"/>
    </xf>
    <xf numFmtId="0" fontId="4" fillId="0" borderId="5" xfId="0" applyFont="1" applyBorder="1"/>
    <xf numFmtId="0" fontId="4" fillId="0" borderId="6" xfId="0" applyFont="1" applyBorder="1"/>
    <xf numFmtId="0" fontId="1" fillId="2" borderId="4" xfId="0" applyFont="1" applyFill="1" applyBorder="1" applyAlignment="1">
      <alignment horizontal="center" vertical="center" wrapText="1"/>
    </xf>
    <xf numFmtId="14" fontId="1" fillId="4" borderId="2" xfId="0" applyNumberFormat="1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14" fontId="1" fillId="4" borderId="8" xfId="0" applyNumberFormat="1" applyFont="1" applyFill="1" applyBorder="1" applyAlignment="1">
      <alignment horizontal="center" vertical="center"/>
    </xf>
    <xf numFmtId="0" fontId="4" fillId="0" borderId="11" xfId="0" applyFont="1" applyBorder="1"/>
    <xf numFmtId="1" fontId="1" fillId="3" borderId="8" xfId="0" applyNumberFormat="1" applyFont="1" applyFill="1" applyBorder="1" applyAlignment="1">
      <alignment horizontal="center" vertical="center"/>
    </xf>
    <xf numFmtId="1" fontId="1" fillId="4" borderId="8" xfId="0" applyNumberFormat="1" applyFont="1" applyFill="1" applyBorder="1" applyAlignment="1">
      <alignment horizontal="center" vertical="center"/>
    </xf>
    <xf numFmtId="165" fontId="1" fillId="4" borderId="8" xfId="0" applyNumberFormat="1" applyFont="1" applyFill="1" applyBorder="1" applyAlignment="1">
      <alignment horizontal="center" vertical="center"/>
    </xf>
    <xf numFmtId="165" fontId="1" fillId="3" borderId="8" xfId="0" applyNumberFormat="1" applyFont="1" applyFill="1" applyBorder="1" applyAlignment="1">
      <alignment horizontal="center" vertical="center"/>
    </xf>
    <xf numFmtId="165" fontId="1" fillId="3" borderId="10" xfId="0" applyNumberFormat="1" applyFont="1" applyFill="1" applyBorder="1" applyAlignment="1">
      <alignment horizontal="center" vertical="center"/>
    </xf>
    <xf numFmtId="0" fontId="4" fillId="0" borderId="13" xfId="0" applyFont="1" applyBorder="1"/>
    <xf numFmtId="0" fontId="15" fillId="5" borderId="27" xfId="0" applyFont="1" applyFill="1" applyBorder="1" applyAlignment="1">
      <alignment horizontal="center" vertical="center"/>
    </xf>
    <xf numFmtId="0" fontId="4" fillId="0" borderId="32" xfId="0" applyFont="1" applyBorder="1"/>
    <xf numFmtId="0" fontId="17" fillId="5" borderId="26" xfId="0" applyFont="1" applyFill="1" applyBorder="1" applyAlignment="1">
      <alignment horizontal="center" vertical="center" textRotation="90"/>
    </xf>
    <xf numFmtId="0" fontId="4" fillId="0" borderId="28" xfId="0" applyFont="1" applyBorder="1"/>
    <xf numFmtId="0" fontId="4" fillId="0" borderId="30" xfId="0" applyFont="1" applyBorder="1"/>
    <xf numFmtId="0" fontId="11" fillId="5" borderId="4" xfId="0" applyFont="1" applyFill="1" applyBorder="1" applyAlignment="1">
      <alignment horizontal="center" vertical="center" textRotation="90" wrapText="1"/>
    </xf>
    <xf numFmtId="0" fontId="16" fillId="5" borderId="15" xfId="0" applyFont="1" applyFill="1" applyBorder="1" applyAlignment="1">
      <alignment horizontal="center" vertical="top"/>
    </xf>
    <xf numFmtId="0" fontId="4" fillId="0" borderId="16" xfId="0" applyFont="1" applyBorder="1"/>
    <xf numFmtId="0" fontId="4" fillId="0" borderId="17" xfId="0" applyFont="1" applyBorder="1"/>
    <xf numFmtId="0" fontId="4" fillId="0" borderId="18" xfId="0" applyFont="1" applyBorder="1"/>
    <xf numFmtId="0" fontId="0" fillId="0" borderId="0" xfId="0"/>
    <xf numFmtId="0" fontId="4" fillId="0" borderId="19" xfId="0" applyFont="1" applyBorder="1"/>
    <xf numFmtId="0" fontId="4" fillId="0" borderId="23" xfId="0" applyFont="1" applyBorder="1"/>
    <xf numFmtId="0" fontId="4" fillId="0" borderId="24" xfId="0" applyFont="1" applyBorder="1"/>
    <xf numFmtId="0" fontId="4" fillId="0" borderId="25" xfId="0" applyFont="1" applyBorder="1"/>
    <xf numFmtId="0" fontId="4" fillId="0" borderId="20" xfId="0" applyFont="1" applyBorder="1"/>
    <xf numFmtId="0" fontId="4" fillId="0" borderId="21" xfId="0" applyFont="1" applyBorder="1"/>
    <xf numFmtId="0" fontId="4" fillId="0" borderId="22" xfId="0" applyFont="1" applyBorder="1"/>
    <xf numFmtId="165" fontId="9" fillId="5" borderId="29" xfId="0" applyNumberFormat="1" applyFont="1" applyFill="1" applyBorder="1" applyAlignment="1">
      <alignment horizontal="center" vertical="center"/>
    </xf>
    <xf numFmtId="0" fontId="4" fillId="0" borderId="31" xfId="0" applyFont="1" applyBorder="1"/>
  </cellXfs>
  <cellStyles count="1">
    <cellStyle name="Standard" xfId="0" builtinId="0"/>
  </cellStyles>
  <dxfs count="2">
    <dxf>
      <font>
        <b/>
        <color rgb="FFAE2942"/>
      </font>
      <fill>
        <patternFill patternType="none"/>
      </fill>
    </dxf>
    <dxf>
      <font>
        <b/>
        <color rgb="FFAE2942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1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Körperfett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Tracking!$B$14:$B$113</c:f>
              <c:numCache>
                <c:formatCode>General</c:formatCode>
                <c:ptCount val="100"/>
              </c:numCache>
            </c:numRef>
          </c:xVal>
          <c:yVal>
            <c:numRef>
              <c:f>Tracking!$H$14:$H$113</c:f>
              <c:numCache>
                <c:formatCode>General</c:formatCode>
                <c:ptCount val="100"/>
                <c:pt idx="0" formatCode="0.0">
                  <c:v>0</c:v>
                </c:pt>
                <c:pt idx="2" formatCode="0.0">
                  <c:v>0</c:v>
                </c:pt>
                <c:pt idx="4" formatCode="0.0">
                  <c:v>0</c:v>
                </c:pt>
                <c:pt idx="6" formatCode="0.0">
                  <c:v>0</c:v>
                </c:pt>
                <c:pt idx="8" formatCode="0.0">
                  <c:v>0</c:v>
                </c:pt>
                <c:pt idx="10" formatCode="0.0">
                  <c:v>0</c:v>
                </c:pt>
                <c:pt idx="12" formatCode="0.0">
                  <c:v>0</c:v>
                </c:pt>
                <c:pt idx="14" formatCode="0.0">
                  <c:v>0</c:v>
                </c:pt>
                <c:pt idx="16" formatCode="0.0">
                  <c:v>0</c:v>
                </c:pt>
                <c:pt idx="18" formatCode="0.0">
                  <c:v>0</c:v>
                </c:pt>
                <c:pt idx="20" formatCode="0.0">
                  <c:v>0</c:v>
                </c:pt>
                <c:pt idx="22" formatCode="0.0">
                  <c:v>0</c:v>
                </c:pt>
                <c:pt idx="24" formatCode="0.0">
                  <c:v>0</c:v>
                </c:pt>
                <c:pt idx="26" formatCode="0.0">
                  <c:v>0</c:v>
                </c:pt>
                <c:pt idx="28" formatCode="0.0">
                  <c:v>0</c:v>
                </c:pt>
                <c:pt idx="30" formatCode="0.0">
                  <c:v>0</c:v>
                </c:pt>
                <c:pt idx="32" formatCode="0.0">
                  <c:v>0</c:v>
                </c:pt>
                <c:pt idx="34" formatCode="0.0">
                  <c:v>0</c:v>
                </c:pt>
                <c:pt idx="36" formatCode="0.0">
                  <c:v>0</c:v>
                </c:pt>
                <c:pt idx="38" formatCode="0.0">
                  <c:v>0</c:v>
                </c:pt>
                <c:pt idx="40" formatCode="0.0">
                  <c:v>0</c:v>
                </c:pt>
                <c:pt idx="42" formatCode="0.0">
                  <c:v>0</c:v>
                </c:pt>
                <c:pt idx="44" formatCode="0.0">
                  <c:v>0</c:v>
                </c:pt>
                <c:pt idx="46" formatCode="0.0">
                  <c:v>0</c:v>
                </c:pt>
                <c:pt idx="48" formatCode="0.0">
                  <c:v>0</c:v>
                </c:pt>
                <c:pt idx="50" formatCode="0.0">
                  <c:v>0</c:v>
                </c:pt>
                <c:pt idx="52" formatCode="0.0">
                  <c:v>0</c:v>
                </c:pt>
                <c:pt idx="54" formatCode="0.0">
                  <c:v>0</c:v>
                </c:pt>
                <c:pt idx="56" formatCode="0.0">
                  <c:v>0</c:v>
                </c:pt>
                <c:pt idx="58" formatCode="0.0">
                  <c:v>0</c:v>
                </c:pt>
                <c:pt idx="60" formatCode="0.0">
                  <c:v>0</c:v>
                </c:pt>
                <c:pt idx="62" formatCode="0.0">
                  <c:v>0</c:v>
                </c:pt>
                <c:pt idx="64" formatCode="0.0">
                  <c:v>0</c:v>
                </c:pt>
                <c:pt idx="66" formatCode="0.0">
                  <c:v>0</c:v>
                </c:pt>
                <c:pt idx="68" formatCode="0.0">
                  <c:v>0</c:v>
                </c:pt>
                <c:pt idx="70" formatCode="0.0">
                  <c:v>0</c:v>
                </c:pt>
                <c:pt idx="72" formatCode="0.0">
                  <c:v>0</c:v>
                </c:pt>
                <c:pt idx="74" formatCode="0.0">
                  <c:v>0</c:v>
                </c:pt>
                <c:pt idx="76" formatCode="0.0">
                  <c:v>0</c:v>
                </c:pt>
                <c:pt idx="78" formatCode="0.0">
                  <c:v>0</c:v>
                </c:pt>
                <c:pt idx="80" formatCode="0.0">
                  <c:v>0</c:v>
                </c:pt>
                <c:pt idx="82" formatCode="0.0">
                  <c:v>0</c:v>
                </c:pt>
                <c:pt idx="84" formatCode="0.0">
                  <c:v>0</c:v>
                </c:pt>
                <c:pt idx="86" formatCode="0.0">
                  <c:v>0</c:v>
                </c:pt>
                <c:pt idx="88" formatCode="0.0">
                  <c:v>0</c:v>
                </c:pt>
                <c:pt idx="90" formatCode="0.0">
                  <c:v>0</c:v>
                </c:pt>
                <c:pt idx="92" formatCode="0.0">
                  <c:v>0</c:v>
                </c:pt>
                <c:pt idx="94" formatCode="0.0">
                  <c:v>0</c:v>
                </c:pt>
                <c:pt idx="96" formatCode="0.0">
                  <c:v>0</c:v>
                </c:pt>
                <c:pt idx="98" formatCode="0.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EDB-224E-8C68-D5DE2CCE4F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6785344"/>
        <c:axId val="1279037576"/>
      </c:scatterChart>
      <c:valAx>
        <c:axId val="105678534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de-DE"/>
              </a:p>
            </c:rich>
          </c:tx>
          <c:overlay val="0"/>
        </c:title>
        <c:numFmt formatCode="m/d/yy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de-DE"/>
          </a:p>
        </c:txPr>
        <c:crossAx val="1279037576"/>
        <c:crosses val="autoZero"/>
        <c:crossBetween val="midCat"/>
      </c:valAx>
      <c:valAx>
        <c:axId val="12790375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de-DE"/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sz="1200" b="1" i="0">
                <a:solidFill>
                  <a:srgbClr val="000000"/>
                </a:solidFill>
                <a:latin typeface="Arial"/>
              </a:defRPr>
            </a:pPr>
            <a:endParaRPr lang="de-DE"/>
          </a:p>
        </c:txPr>
        <c:crossAx val="1056785344"/>
        <c:crosses val="autoZero"/>
        <c:crossBetween val="midCat"/>
      </c:valAx>
    </c:plotArea>
    <c:legend>
      <c:legendPos val="l"/>
      <c:layout>
        <c:manualLayout>
          <c:xMode val="edge"/>
          <c:yMode val="edge"/>
          <c:x val="5.0505438440811901E-2"/>
          <c:y val="0.74019342747723205"/>
        </c:manualLayout>
      </c:layout>
      <c:overlay val="0"/>
      <c:txPr>
        <a:bodyPr/>
        <a:lstStyle/>
        <a:p>
          <a:pPr lvl="0">
            <a:defRPr sz="1100" b="1" i="0">
              <a:solidFill>
                <a:srgbClr val="1A1A1A"/>
              </a:solidFill>
              <a:latin typeface="Arial"/>
            </a:defRPr>
          </a:pPr>
          <a:endParaRPr lang="de-DE"/>
        </a:p>
      </c:txPr>
    </c:legend>
    <c:plotVisOnly val="1"/>
    <c:dispBlanksAs val="zero"/>
    <c:showDLblsOverMax val="1"/>
  </c:chart>
  <c:printSettings>
    <c:headerFooter/>
    <c:pageMargins b="0.78740157499999996" l="0.7" r="0.7" t="0.78740157499999996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638175</xdr:colOff>
      <xdr:row>5</xdr:row>
      <xdr:rowOff>85725</xdr:rowOff>
    </xdr:from>
    <xdr:ext cx="923925" cy="9334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447675</xdr:colOff>
      <xdr:row>5</xdr:row>
      <xdr:rowOff>85725</xdr:rowOff>
    </xdr:from>
    <xdr:ext cx="838200" cy="9334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238125</xdr:colOff>
      <xdr:row>11</xdr:row>
      <xdr:rowOff>28575</xdr:rowOff>
    </xdr:from>
    <xdr:ext cx="13696950" cy="46386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Z1000"/>
  <sheetViews>
    <sheetView showGridLines="0" tabSelected="1" topLeftCell="A5" workbookViewId="0">
      <selection activeCell="F26" sqref="F26"/>
    </sheetView>
  </sheetViews>
  <sheetFormatPr baseColWidth="10" defaultColWidth="14.5" defaultRowHeight="15" customHeight="1"/>
  <cols>
    <col min="1" max="1" width="3.83203125" customWidth="1"/>
    <col min="2" max="2" width="16.1640625" customWidth="1"/>
    <col min="3" max="3" width="6.6640625" customWidth="1"/>
    <col min="4" max="4" width="7.33203125" customWidth="1"/>
    <col min="5" max="5" width="6.6640625" customWidth="1"/>
    <col min="6" max="6" width="13.6640625" customWidth="1"/>
    <col min="7" max="7" width="31.5" customWidth="1"/>
    <col min="8" max="8" width="6.6640625" customWidth="1"/>
    <col min="9" max="9" width="17.5" customWidth="1"/>
    <col min="10" max="10" width="37.5" customWidth="1"/>
    <col min="11" max="11" width="6.83203125" customWidth="1"/>
    <col min="12" max="12" width="17.5" customWidth="1"/>
    <col min="13" max="13" width="29.6640625" customWidth="1"/>
    <col min="14" max="14" width="6.33203125" customWidth="1"/>
    <col min="15" max="26" width="10.6640625" customWidth="1"/>
  </cols>
  <sheetData>
    <row r="1" spans="1:26" ht="15" hidden="1" customHeight="1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hidden="1" customHeight="1">
      <c r="A2" s="1"/>
      <c r="B2" s="1"/>
      <c r="C2" s="1"/>
      <c r="D2" s="2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 hidden="1" customHeight="1">
      <c r="A3" s="1"/>
      <c r="B3" s="1"/>
      <c r="C3" s="1"/>
      <c r="D3" s="2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 hidden="1" customHeight="1">
      <c r="A4" s="1"/>
      <c r="B4" s="1"/>
      <c r="C4" s="1"/>
      <c r="D4" s="2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" customHeight="1">
      <c r="A5" s="1"/>
      <c r="B5" s="1"/>
      <c r="C5" s="1"/>
      <c r="D5" s="2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" customHeight="1">
      <c r="A6" s="1"/>
      <c r="B6" s="1"/>
      <c r="C6" s="1"/>
      <c r="D6" s="2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" customHeight="1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" customHeight="1">
      <c r="A8" s="1"/>
      <c r="B8" s="1"/>
      <c r="C8" s="1"/>
      <c r="D8" s="2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4" customHeight="1">
      <c r="A9" s="1"/>
      <c r="B9" s="3" t="s">
        <v>0</v>
      </c>
      <c r="C9" s="1"/>
      <c r="D9" s="2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7.25" customHeight="1">
      <c r="A10" s="3"/>
      <c r="B10" s="1"/>
      <c r="C10" s="1"/>
      <c r="D10" s="2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9" customHeight="1">
      <c r="A11" s="3"/>
      <c r="B11" s="1"/>
      <c r="C11" s="1"/>
      <c r="D11" s="2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7.25" customHeight="1">
      <c r="A12" s="3"/>
      <c r="B12" s="1"/>
      <c r="C12" s="1"/>
      <c r="D12" s="2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" customHeight="1">
      <c r="A13" s="3"/>
      <c r="B13" s="1"/>
      <c r="C13" s="1"/>
      <c r="D13" s="2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>
      <c r="A14" s="4"/>
      <c r="B14" s="4" t="s">
        <v>1</v>
      </c>
      <c r="C14" s="4"/>
      <c r="D14" s="4"/>
      <c r="E14" s="4"/>
      <c r="F14" s="4" t="s">
        <v>2</v>
      </c>
      <c r="G14" s="4"/>
      <c r="H14" s="4"/>
      <c r="I14" s="4" t="s">
        <v>3</v>
      </c>
      <c r="J14" s="4"/>
      <c r="K14" s="4"/>
      <c r="L14" s="4" t="s">
        <v>4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9" customHeight="1">
      <c r="A15" s="1"/>
      <c r="B15" s="1"/>
      <c r="C15" s="1"/>
      <c r="D15" s="5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>
      <c r="A16" s="1"/>
      <c r="B16" s="1" t="s">
        <v>5</v>
      </c>
      <c r="C16" s="50"/>
      <c r="D16" s="51"/>
      <c r="E16" s="1"/>
      <c r="F16" s="1" t="s">
        <v>7</v>
      </c>
      <c r="G16" s="10"/>
      <c r="H16" s="1"/>
      <c r="I16" s="1" t="s">
        <v>11</v>
      </c>
      <c r="J16" s="11"/>
      <c r="K16" s="1"/>
      <c r="L16" s="1" t="s">
        <v>12</v>
      </c>
      <c r="M16" s="10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3" customHeight="1">
      <c r="A17" s="1"/>
      <c r="B17" s="1"/>
      <c r="C17" s="12"/>
      <c r="D17" s="12"/>
      <c r="E17" s="1"/>
      <c r="F17" s="1"/>
      <c r="G17" s="13"/>
      <c r="H17" s="1"/>
      <c r="I17" s="1"/>
      <c r="J17" s="12"/>
      <c r="K17" s="1"/>
      <c r="L17" s="1"/>
      <c r="M17" s="13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>
      <c r="A18" s="1"/>
      <c r="B18" s="1" t="s">
        <v>13</v>
      </c>
      <c r="C18" s="50"/>
      <c r="D18" s="51"/>
      <c r="E18" s="1"/>
      <c r="F18" s="1" t="s">
        <v>14</v>
      </c>
      <c r="G18" s="10"/>
      <c r="H18" s="1"/>
      <c r="I18" s="1" t="s">
        <v>15</v>
      </c>
      <c r="J18" s="11"/>
      <c r="K18" s="1"/>
      <c r="L18" s="1" t="s">
        <v>16</v>
      </c>
      <c r="M18" s="10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3" customHeight="1">
      <c r="A19" s="1"/>
      <c r="B19" s="1"/>
      <c r="C19" s="12"/>
      <c r="D19" s="12"/>
      <c r="E19" s="1"/>
      <c r="F19" s="1"/>
      <c r="G19" s="13"/>
      <c r="H19" s="1"/>
      <c r="I19" s="1"/>
      <c r="J19" s="12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 customHeight="1">
      <c r="A20" s="1"/>
      <c r="B20" s="1" t="s">
        <v>17</v>
      </c>
      <c r="C20" s="52"/>
      <c r="D20" s="51"/>
      <c r="E20" s="1"/>
      <c r="F20" s="1" t="s">
        <v>19</v>
      </c>
      <c r="G20" s="10"/>
      <c r="H20" s="1"/>
      <c r="I20" s="1" t="s">
        <v>3</v>
      </c>
      <c r="J20" s="53"/>
      <c r="K20" s="1"/>
      <c r="L20" s="1"/>
      <c r="M20" s="56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3" customHeight="1">
      <c r="A21" s="1"/>
      <c r="B21" s="1"/>
      <c r="C21" s="12"/>
      <c r="D21" s="12"/>
      <c r="E21" s="1"/>
      <c r="F21" s="1"/>
      <c r="G21" s="13"/>
      <c r="H21" s="1"/>
      <c r="I21" s="1"/>
      <c r="J21" s="54"/>
      <c r="K21" s="1"/>
      <c r="L21" s="1"/>
      <c r="M21" s="54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8" customHeight="1">
      <c r="A22" s="1"/>
      <c r="B22" s="1" t="s">
        <v>21</v>
      </c>
      <c r="C22" s="57"/>
      <c r="D22" s="51"/>
      <c r="E22" s="1"/>
      <c r="F22" s="1" t="s">
        <v>22</v>
      </c>
      <c r="G22" s="10"/>
      <c r="H22" s="1"/>
      <c r="I22" s="1"/>
      <c r="J22" s="54"/>
      <c r="K22" s="1"/>
      <c r="L22" s="1"/>
      <c r="M22" s="54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3" customHeight="1">
      <c r="A23" s="1"/>
      <c r="B23" s="1"/>
      <c r="C23" s="12"/>
      <c r="D23" s="12"/>
      <c r="E23" s="1"/>
      <c r="F23" s="1"/>
      <c r="G23" s="13"/>
      <c r="H23" s="1"/>
      <c r="I23" s="1"/>
      <c r="J23" s="54"/>
      <c r="K23" s="1"/>
      <c r="L23" s="1"/>
      <c r="M23" s="54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" customHeight="1">
      <c r="A24" s="1"/>
      <c r="B24" s="1" t="s">
        <v>23</v>
      </c>
      <c r="C24" s="58" t="str">
        <f ca="1">IF(C22="","",DATEDIF(C22,TODAY(),"y"))</f>
        <v/>
      </c>
      <c r="D24" s="51"/>
      <c r="E24" s="1"/>
      <c r="F24" s="1" t="s">
        <v>24</v>
      </c>
      <c r="G24" s="18"/>
      <c r="H24" s="1"/>
      <c r="I24" s="1"/>
      <c r="J24" s="55"/>
      <c r="K24" s="1"/>
      <c r="L24" s="1"/>
      <c r="M24" s="55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 customHeight="1">
      <c r="A25" s="1"/>
      <c r="B25" s="1"/>
      <c r="C25" s="1"/>
      <c r="D25" s="2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408.75" customHeight="1">
      <c r="A26" s="1"/>
      <c r="B26" s="1"/>
      <c r="C26" s="1"/>
      <c r="D26" s="1"/>
      <c r="E26" s="1"/>
      <c r="F26" s="1"/>
      <c r="G26" s="1"/>
      <c r="H26" s="1"/>
      <c r="I26" s="1"/>
      <c r="J26" s="6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hidden="1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hidden="1" customHeight="1">
      <c r="A28" s="1"/>
      <c r="B28" s="1"/>
      <c r="C28" s="1"/>
      <c r="D28" s="2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hidden="1" customHeight="1">
      <c r="A29" s="1"/>
      <c r="B29" s="1"/>
      <c r="C29" s="1"/>
      <c r="D29" s="2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hidden="1" customHeight="1">
      <c r="A30" s="1"/>
      <c r="B30" s="1"/>
      <c r="C30" s="1"/>
      <c r="D30" s="2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hidden="1" customHeight="1">
      <c r="A31" s="1"/>
      <c r="B31" s="1"/>
      <c r="C31" s="1"/>
      <c r="D31" s="2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hidden="1" customHeight="1">
      <c r="A32" s="1"/>
      <c r="B32" s="1"/>
      <c r="C32" s="1"/>
      <c r="D32" s="2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hidden="1" customHeight="1">
      <c r="A33" s="1"/>
      <c r="B33" s="1"/>
      <c r="C33" s="1"/>
      <c r="D33" s="2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hidden="1" customHeight="1">
      <c r="A34" s="1"/>
      <c r="B34" s="1"/>
      <c r="C34" s="1"/>
      <c r="D34" s="2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hidden="1" customHeight="1">
      <c r="A35" s="1"/>
      <c r="B35" s="1"/>
      <c r="C35" s="1"/>
      <c r="D35" s="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hidden="1" customHeight="1">
      <c r="A36" s="1"/>
      <c r="B36" s="1"/>
      <c r="C36" s="1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hidden="1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hidden="1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hidden="1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hidden="1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hidden="1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hidden="1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hidden="1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hidden="1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hidden="1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hidden="1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hidden="1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hidden="1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hidden="1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hidden="1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hidden="1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hidden="1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hidden="1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hidden="1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hidden="1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hidden="1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hidden="1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hidden="1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hidden="1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hidden="1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hidden="1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hidden="1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/>
      <c r="C63" s="1"/>
      <c r="D63" s="2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/>
      <c r="C64" s="1"/>
      <c r="D64" s="2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2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2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2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2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2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2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2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2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2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2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2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2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2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2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2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2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2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2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2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2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2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2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2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2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2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2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2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2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2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2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2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2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2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2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2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2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2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2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2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2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2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2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2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2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2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2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2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2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2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2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2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2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2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2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2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2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2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2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2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2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2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2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2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2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2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2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2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2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2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2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2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2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2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2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2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2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2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2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2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2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2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2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2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2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2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2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2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2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2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2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2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2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2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2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2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2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2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2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2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2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2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2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2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2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2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2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2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2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2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2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2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2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2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2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2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2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2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2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2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2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2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2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2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2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2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2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2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2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2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2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2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2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2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2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2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2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2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2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2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2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2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2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2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2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2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2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2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2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2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2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2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2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2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2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2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2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2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2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2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2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2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2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2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2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2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2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2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2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2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2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2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2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2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2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2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2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2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2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2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2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2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2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2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2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2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2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2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2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2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2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2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2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2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2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2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2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2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2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2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2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2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2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2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2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2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2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2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2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2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2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2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2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2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2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2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2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2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2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2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2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2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2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2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2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2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2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2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2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2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2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2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2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2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2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2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2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2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2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2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2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2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2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2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2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2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2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2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2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2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2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2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2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2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2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2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2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2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2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2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2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2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2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2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2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2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2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2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2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2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2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2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2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2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2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2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2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2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2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2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2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2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2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2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2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2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2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2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2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2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2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2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2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2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2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2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2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2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2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2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2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2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2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2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2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2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2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2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2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2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2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2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2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2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2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2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2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2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2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2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2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2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2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2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2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2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2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2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2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2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2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2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2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2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2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2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2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2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2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2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2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2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2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2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2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2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2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2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2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2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2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2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2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2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2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2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2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2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2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2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2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2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2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2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2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2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2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2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2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2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2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2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2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2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2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2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2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2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2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2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2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2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2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2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2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2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2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2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2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2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2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2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2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2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2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2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2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2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2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2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2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2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2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2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2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2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2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2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2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2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2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2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2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2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2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2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2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2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2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2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2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2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2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2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2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2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2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2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2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2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2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2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2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2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2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2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2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2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2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2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2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2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2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2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2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2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2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2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2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2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2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2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2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2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2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2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2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2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2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2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2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2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2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2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2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2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2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2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2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2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2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2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2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2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2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2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2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2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2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2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2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2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2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2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2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2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2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2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2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2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2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2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2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2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2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2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2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2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2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2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2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2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2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2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2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2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2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2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2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2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2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2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2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2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2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2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2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2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2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2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2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2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2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2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2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2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2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2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2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2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2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2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2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2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2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2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2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2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2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2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2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2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2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2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2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2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2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2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2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2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2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2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2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2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2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2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2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2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2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2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2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2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2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2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2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2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2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2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2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2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2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2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2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2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2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2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2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2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2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2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2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2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2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2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2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2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2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2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2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2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2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2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2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2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2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2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2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2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2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2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2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2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2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2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2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2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2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2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2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2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2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2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2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2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2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2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2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2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2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2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2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2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2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2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2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2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2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2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2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2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2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2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2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2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2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2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2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2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2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2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2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2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2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2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2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2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2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2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2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2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2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2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2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2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2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2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2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2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2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2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2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2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2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2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2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2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2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2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2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2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2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2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2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2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2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2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2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2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2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2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2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2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2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2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2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2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2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2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2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2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2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2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2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2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2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2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2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2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2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2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2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2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2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2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2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2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2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2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2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2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2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2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2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2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2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2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2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2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2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2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2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2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2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2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2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2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2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2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2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2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2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2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2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2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2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2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2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2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2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2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2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2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2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2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2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2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2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2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2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2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2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2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2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2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2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2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2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2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2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2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2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2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2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2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2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2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2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2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2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2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2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2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2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2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2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2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2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2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2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2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2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2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2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2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2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2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2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2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2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2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2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2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2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2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2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2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2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2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2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2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2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2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2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2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2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2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2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2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2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2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2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2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2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2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2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2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2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2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2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2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2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2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2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2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2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2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2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2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2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2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2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2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2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2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2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2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2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2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2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2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2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2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2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2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2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2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2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2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2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2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2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2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2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2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2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2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2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2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2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2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2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2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2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2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2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2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2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2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2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2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2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2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2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2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2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2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2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2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2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2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2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2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2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2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2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2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2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2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2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2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2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2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2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2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2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2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2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2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2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2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2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2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2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2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2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2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2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2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2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2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2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2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2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2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2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2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2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2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2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2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2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2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2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2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2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2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2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2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2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2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2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2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2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2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2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2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2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7">
    <mergeCell ref="C16:D16"/>
    <mergeCell ref="C18:D18"/>
    <mergeCell ref="C20:D20"/>
    <mergeCell ref="J20:J24"/>
    <mergeCell ref="M20:M24"/>
    <mergeCell ref="C22:D22"/>
    <mergeCell ref="C24:D24"/>
  </mergeCells>
  <pageMargins left="0.23622047244094491" right="0.23622047244094491" top="0.74803149606299213" bottom="0.74803149606299213" header="0" footer="0"/>
  <pageSetup paperSize="9" orientation="landscape"/>
  <headerFooter>
    <oddFooter>&amp;L&amp;D&amp;Rhttp://www.yourpersonalstrengthcoach.com wolfgang@yourpersonalstrengthcoach.com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/>
  </sheetPr>
  <dimension ref="A1:Z1000"/>
  <sheetViews>
    <sheetView showGridLines="0" workbookViewId="0">
      <pane ySplit="13" topLeftCell="A14" activePane="bottomLeft" state="frozen"/>
      <selection pane="bottomLeft" activeCell="G24" sqref="G24:G25"/>
    </sheetView>
  </sheetViews>
  <sheetFormatPr baseColWidth="10" defaultColWidth="14.5" defaultRowHeight="15" customHeight="1"/>
  <cols>
    <col min="1" max="1" width="3.83203125" customWidth="1"/>
    <col min="2" max="2" width="10.1640625" customWidth="1"/>
    <col min="3" max="3" width="9.6640625" customWidth="1"/>
    <col min="4" max="4" width="2.5" customWidth="1"/>
    <col min="5" max="8" width="9.6640625" customWidth="1"/>
    <col min="9" max="9" width="2.5" customWidth="1"/>
    <col min="10" max="23" width="9.6640625" customWidth="1"/>
    <col min="24" max="26" width="10.6640625" customWidth="1"/>
  </cols>
  <sheetData>
    <row r="1" spans="1:26" ht="15" hidden="1" customHeight="1">
      <c r="A1" s="6"/>
      <c r="B1" s="6"/>
      <c r="C1" s="7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5" hidden="1" customHeight="1">
      <c r="A2" s="6"/>
      <c r="B2" s="6"/>
      <c r="C2" s="7"/>
      <c r="D2" s="6"/>
      <c r="E2" s="6"/>
      <c r="F2" s="6"/>
      <c r="G2" s="6"/>
      <c r="H2" s="6"/>
      <c r="I2" s="6"/>
      <c r="J2" s="8" t="s">
        <v>6</v>
      </c>
      <c r="K2" s="8" t="s">
        <v>8</v>
      </c>
      <c r="L2" s="8" t="s">
        <v>9</v>
      </c>
      <c r="M2" s="8" t="s">
        <v>10</v>
      </c>
      <c r="N2" s="9"/>
      <c r="O2" s="9"/>
      <c r="P2" s="9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5" hidden="1" customHeight="1">
      <c r="A3" s="6"/>
      <c r="B3" s="6"/>
      <c r="C3" s="7"/>
      <c r="D3" s="6"/>
      <c r="E3" s="6"/>
      <c r="F3" s="6"/>
      <c r="G3" s="6"/>
      <c r="H3" s="6"/>
      <c r="I3" s="6"/>
      <c r="J3" s="8"/>
      <c r="K3" s="8"/>
      <c r="L3" s="8"/>
      <c r="M3" s="8"/>
      <c r="N3" s="9"/>
      <c r="O3" s="9"/>
      <c r="P3" s="9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5" hidden="1" customHeight="1">
      <c r="A4" s="6"/>
      <c r="B4" s="6"/>
      <c r="C4" s="7"/>
      <c r="D4" s="6"/>
      <c r="E4" s="6"/>
      <c r="F4" s="6"/>
      <c r="G4" s="6"/>
      <c r="H4" s="6"/>
      <c r="I4" s="6"/>
      <c r="J4" s="8"/>
      <c r="K4" s="8"/>
      <c r="L4" s="8"/>
      <c r="M4" s="8"/>
      <c r="N4" s="9"/>
      <c r="O4" s="9"/>
      <c r="P4" s="9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5" customHeight="1">
      <c r="A5" s="6"/>
      <c r="B5" s="6"/>
      <c r="C5" s="7"/>
      <c r="D5" s="6"/>
      <c r="E5" s="6"/>
      <c r="F5" s="6"/>
      <c r="G5" s="6"/>
      <c r="H5" s="6"/>
      <c r="I5" s="6"/>
      <c r="J5" s="14"/>
      <c r="K5" s="14"/>
      <c r="L5" s="14"/>
      <c r="M5" s="14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5" customHeight="1">
      <c r="A6" s="6"/>
      <c r="B6" s="6"/>
      <c r="C6" s="7"/>
      <c r="D6" s="6"/>
      <c r="E6" s="6"/>
      <c r="F6" s="6"/>
      <c r="G6" s="6"/>
      <c r="H6" s="6"/>
      <c r="I6" s="6"/>
      <c r="J6" s="14"/>
      <c r="K6" s="14"/>
      <c r="L6" s="14"/>
      <c r="M6" s="14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5" customHeight="1">
      <c r="A7" s="6"/>
      <c r="B7" s="6"/>
      <c r="C7" s="7"/>
      <c r="D7" s="6"/>
      <c r="E7" s="6"/>
      <c r="F7" s="6"/>
      <c r="G7" s="6"/>
      <c r="H7" s="6"/>
      <c r="I7" s="6"/>
      <c r="J7" s="15">
        <v>40</v>
      </c>
      <c r="K7" s="14"/>
      <c r="L7" s="14"/>
      <c r="M7" s="14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5" customHeight="1">
      <c r="A8" s="6"/>
      <c r="B8" s="6"/>
      <c r="C8" s="7"/>
      <c r="D8" s="6"/>
      <c r="E8" s="6"/>
      <c r="F8" s="6"/>
      <c r="G8" s="6"/>
      <c r="H8" s="6"/>
      <c r="I8" s="6"/>
      <c r="J8" s="15">
        <v>11.2778452215</v>
      </c>
      <c r="K8" s="14"/>
      <c r="L8" s="14"/>
      <c r="M8" s="14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24" customHeight="1">
      <c r="A9" s="6"/>
      <c r="B9" s="16" t="s">
        <v>20</v>
      </c>
      <c r="C9" s="7"/>
      <c r="D9" s="6"/>
      <c r="E9" s="6"/>
      <c r="F9" s="6"/>
      <c r="G9" s="6"/>
      <c r="H9" s="6"/>
      <c r="I9" s="6"/>
      <c r="J9" s="15">
        <v>-0.72457287280000005</v>
      </c>
      <c r="K9" s="17">
        <v>7.8112059319</v>
      </c>
      <c r="L9" s="17">
        <v>0.30396975180000002</v>
      </c>
      <c r="M9" s="14"/>
      <c r="N9" s="6"/>
      <c r="O9" s="19" t="s">
        <v>18</v>
      </c>
      <c r="P9" s="19" t="s">
        <v>25</v>
      </c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7.25" customHeight="1">
      <c r="A10" s="6"/>
      <c r="B10" s="6"/>
      <c r="C10" s="6"/>
      <c r="D10" s="6"/>
      <c r="E10" s="6"/>
      <c r="F10" s="6"/>
      <c r="G10" s="6"/>
      <c r="H10" s="6"/>
      <c r="I10" s="6"/>
      <c r="J10" s="15">
        <v>0.57508400000000004</v>
      </c>
      <c r="K10" s="17">
        <v>-0.28815665029999998</v>
      </c>
      <c r="L10" s="17">
        <v>0.36216424619999998</v>
      </c>
      <c r="M10" s="15">
        <v>0.5</v>
      </c>
      <c r="N10" s="6"/>
      <c r="O10" s="17">
        <v>0.48261056945833591</v>
      </c>
      <c r="P10" s="17">
        <v>-6.1956362526380815E-3</v>
      </c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9" customHeight="1">
      <c r="A11" s="6"/>
      <c r="B11" s="6"/>
      <c r="C11" s="20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7">
      <c r="A12" s="19"/>
      <c r="B12" s="19" t="s">
        <v>26</v>
      </c>
      <c r="C12" s="19" t="s">
        <v>23</v>
      </c>
      <c r="D12" s="19"/>
      <c r="E12" s="21" t="s">
        <v>9</v>
      </c>
      <c r="F12" s="21" t="s">
        <v>8</v>
      </c>
      <c r="G12" s="21" t="s">
        <v>27</v>
      </c>
      <c r="H12" s="21" t="s">
        <v>28</v>
      </c>
      <c r="I12" s="19"/>
      <c r="J12" s="21" t="s">
        <v>29</v>
      </c>
      <c r="K12" s="21" t="s">
        <v>30</v>
      </c>
      <c r="L12" s="21" t="s">
        <v>31</v>
      </c>
      <c r="M12" s="21" t="s">
        <v>32</v>
      </c>
      <c r="N12" s="21" t="s">
        <v>33</v>
      </c>
      <c r="O12" s="21" t="s">
        <v>34</v>
      </c>
      <c r="P12" s="21" t="s">
        <v>35</v>
      </c>
      <c r="Q12" s="21" t="s">
        <v>36</v>
      </c>
      <c r="R12" s="21" t="s">
        <v>37</v>
      </c>
      <c r="S12" s="21" t="s">
        <v>38</v>
      </c>
      <c r="T12" s="21" t="s">
        <v>39</v>
      </c>
      <c r="U12" s="21" t="s">
        <v>40</v>
      </c>
      <c r="V12" s="21" t="s">
        <v>41</v>
      </c>
      <c r="W12" s="21" t="s">
        <v>42</v>
      </c>
      <c r="X12" s="19"/>
      <c r="Y12" s="19"/>
      <c r="Z12" s="19"/>
    </row>
    <row r="13" spans="1:26" ht="15" customHeight="1">
      <c r="A13" s="22"/>
      <c r="B13" s="23"/>
      <c r="C13" s="24"/>
      <c r="D13" s="24"/>
      <c r="E13" s="24" t="s">
        <v>43</v>
      </c>
      <c r="F13" s="24" t="s">
        <v>44</v>
      </c>
      <c r="G13" s="24" t="s">
        <v>44</v>
      </c>
      <c r="H13" s="24" t="s">
        <v>45</v>
      </c>
      <c r="I13" s="24"/>
      <c r="J13" s="24" t="s">
        <v>46</v>
      </c>
      <c r="K13" s="24" t="s">
        <v>46</v>
      </c>
      <c r="L13" s="24" t="s">
        <v>46</v>
      </c>
      <c r="M13" s="24" t="s">
        <v>46</v>
      </c>
      <c r="N13" s="24" t="s">
        <v>46</v>
      </c>
      <c r="O13" s="24" t="s">
        <v>46</v>
      </c>
      <c r="P13" s="24" t="s">
        <v>46</v>
      </c>
      <c r="Q13" s="24" t="s">
        <v>46</v>
      </c>
      <c r="R13" s="24" t="s">
        <v>46</v>
      </c>
      <c r="S13" s="24" t="s">
        <v>46</v>
      </c>
      <c r="T13" s="24" t="s">
        <v>46</v>
      </c>
      <c r="U13" s="24" t="s">
        <v>46</v>
      </c>
      <c r="V13" s="24" t="s">
        <v>46</v>
      </c>
      <c r="W13" s="24" t="s">
        <v>46</v>
      </c>
      <c r="X13" s="22"/>
      <c r="Y13" s="22"/>
      <c r="Z13" s="22"/>
    </row>
    <row r="14" spans="1:26" ht="19.5" customHeight="1">
      <c r="A14" s="25"/>
      <c r="B14" s="59"/>
      <c r="C14" s="61" t="str">
        <f>IF(B14="","",DATEDIF(Person!$C$22,B14,"y"))</f>
        <v/>
      </c>
      <c r="D14" s="25"/>
      <c r="E14" s="62"/>
      <c r="F14" s="63"/>
      <c r="G14" s="64" t="str">
        <f>IF(F14="","",IF(E14="","",IF(W14="","",F14*(100%-H14/100))))</f>
        <v/>
      </c>
      <c r="H14" s="64" t="str">
        <f>IF(F14="","",IF(E14="","",IF(W14="","",$O$10*(($K$9*F14^$K$10)*($L$9*E14^$L$10)*(ABS(W14-(($J$8*E14^$J$9)*F14^$J$10+$J$7)))^$M$10)+$P$10)))</f>
        <v/>
      </c>
      <c r="I14" s="29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65" t="str">
        <f>IF(J14="","",SUM(J14:S14))</f>
        <v/>
      </c>
      <c r="X14" s="25"/>
      <c r="Y14" s="25"/>
      <c r="Z14" s="25"/>
    </row>
    <row r="15" spans="1:26" ht="19.5" customHeight="1">
      <c r="A15" s="31"/>
      <c r="B15" s="60"/>
      <c r="C15" s="60"/>
      <c r="D15" s="31"/>
      <c r="E15" s="60"/>
      <c r="F15" s="60"/>
      <c r="G15" s="60"/>
      <c r="H15" s="60"/>
      <c r="I15" s="31"/>
      <c r="J15" s="33" t="str">
        <f>IF(ISERROR(Grafik!D51),"",Grafik!D51)</f>
        <v/>
      </c>
      <c r="K15" s="33" t="str">
        <f>IF(ISERROR(Grafik!E51),"",Grafik!E51)</f>
        <v/>
      </c>
      <c r="L15" s="33" t="str">
        <f>IF(ISERROR(Grafik!F51),"",Grafik!F51)</f>
        <v/>
      </c>
      <c r="M15" s="33" t="str">
        <f>IF(ISERROR(Grafik!G51),"",Grafik!G51)</f>
        <v/>
      </c>
      <c r="N15" s="33" t="str">
        <f>IF(ISERROR(Grafik!H51),"",Grafik!H51)</f>
        <v/>
      </c>
      <c r="O15" s="33" t="str">
        <f>IF(ISERROR(Grafik!I51),"",Grafik!I51)</f>
        <v/>
      </c>
      <c r="P15" s="33" t="str">
        <f>IF(ISERROR(Grafik!J51),"",Grafik!J51)</f>
        <v/>
      </c>
      <c r="Q15" s="33" t="str">
        <f>IF(ISERROR(Grafik!K51),"",Grafik!K51)</f>
        <v/>
      </c>
      <c r="R15" s="33" t="str">
        <f>IF(ISERROR(Grafik!L51),"",Grafik!L51)</f>
        <v/>
      </c>
      <c r="S15" s="33" t="str">
        <f>IF(ISERROR(Grafik!M51),"",Grafik!M51)</f>
        <v/>
      </c>
      <c r="T15" s="33" t="str">
        <f>IF(ISERROR(Grafik!N51),"",Grafik!N51)</f>
        <v/>
      </c>
      <c r="U15" s="33" t="str">
        <f>IF(ISERROR(Grafik!O51),"",Grafik!O51)</f>
        <v/>
      </c>
      <c r="V15" s="33" t="str">
        <f>IF(ISERROR(Grafik!P51),"",Grafik!P51)</f>
        <v/>
      </c>
      <c r="W15" s="66"/>
      <c r="X15" s="31"/>
      <c r="Y15" s="31"/>
      <c r="Z15" s="31"/>
    </row>
    <row r="16" spans="1:26" ht="19.5" customHeight="1">
      <c r="A16" s="25"/>
      <c r="B16" s="59"/>
      <c r="C16" s="61" t="str">
        <f>IF(B16="","",DATEDIF(Person!$C$22,B16,"y"))</f>
        <v/>
      </c>
      <c r="D16" s="25"/>
      <c r="E16" s="62"/>
      <c r="F16" s="63"/>
      <c r="G16" s="64" t="str">
        <f>IF(F16="","",IF(E16="","",IF(W16="","",F16*(100%-H16/100))))</f>
        <v/>
      </c>
      <c r="H16" s="64" t="str">
        <f>IF(F16="","",IF(E16="","",IF(W16="","",$O$10*(($K$9*F16^$K$10)*($L$9*E16^$L$10)*(ABS(W16-(($J$8*E16^$J$9)*F16^$J$10+$J$7)))^$M$10)+$P$10)))</f>
        <v/>
      </c>
      <c r="I16" s="29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65" t="str">
        <f>IF(J16="","",SUM(J16:S16))</f>
        <v/>
      </c>
      <c r="X16" s="25"/>
      <c r="Y16" s="25"/>
      <c r="Z16" s="25"/>
    </row>
    <row r="17" spans="1:26" ht="19.5" customHeight="1">
      <c r="A17" s="31"/>
      <c r="B17" s="60"/>
      <c r="C17" s="60"/>
      <c r="D17" s="31"/>
      <c r="E17" s="60"/>
      <c r="F17" s="60"/>
      <c r="G17" s="60"/>
      <c r="H17" s="60"/>
      <c r="I17" s="31"/>
      <c r="J17" s="33" t="str">
        <f>IF(ISERROR(Grafik!D53),"",Grafik!D53)</f>
        <v/>
      </c>
      <c r="K17" s="33" t="str">
        <f>IF(ISERROR(Grafik!E53),"",Grafik!E53)</f>
        <v/>
      </c>
      <c r="L17" s="33" t="str">
        <f>IF(ISERROR(Grafik!F53),"",Grafik!F53)</f>
        <v/>
      </c>
      <c r="M17" s="33" t="str">
        <f>IF(ISERROR(Grafik!G53),"",Grafik!G53)</f>
        <v/>
      </c>
      <c r="N17" s="33" t="str">
        <f>IF(ISERROR(Grafik!H53),"",Grafik!H53)</f>
        <v/>
      </c>
      <c r="O17" s="33" t="str">
        <f>IF(ISERROR(Grafik!I53),"",Grafik!I53)</f>
        <v/>
      </c>
      <c r="P17" s="33" t="str">
        <f>IF(ISERROR(Grafik!J53),"",Grafik!J53)</f>
        <v/>
      </c>
      <c r="Q17" s="33" t="str">
        <f>IF(ISERROR(Grafik!K53),"",Grafik!K53)</f>
        <v/>
      </c>
      <c r="R17" s="33" t="str">
        <f>IF(ISERROR(Grafik!L53),"",Grafik!L53)</f>
        <v/>
      </c>
      <c r="S17" s="33" t="str">
        <f>IF(ISERROR(Grafik!M53),"",Grafik!M53)</f>
        <v/>
      </c>
      <c r="T17" s="33" t="str">
        <f>IF(ISERROR(Grafik!N53),"",Grafik!N53)</f>
        <v/>
      </c>
      <c r="U17" s="33" t="str">
        <f>IF(ISERROR(Grafik!O53),"",Grafik!O53)</f>
        <v/>
      </c>
      <c r="V17" s="33" t="str">
        <f>IF(ISERROR(Grafik!P53),"",Grafik!P53)</f>
        <v/>
      </c>
      <c r="W17" s="66"/>
      <c r="X17" s="31"/>
      <c r="Y17" s="31"/>
      <c r="Z17" s="31"/>
    </row>
    <row r="18" spans="1:26" ht="19.5" customHeight="1">
      <c r="A18" s="25"/>
      <c r="B18" s="59"/>
      <c r="C18" s="61" t="str">
        <f>IF(B18="","",DATEDIF(Person!$C$22,B18,"y"))</f>
        <v/>
      </c>
      <c r="D18" s="25"/>
      <c r="E18" s="62"/>
      <c r="F18" s="63"/>
      <c r="G18" s="64" t="str">
        <f>IF(F18="","",IF(E18="","",IF(W18="","",F18*(100%-H18/100))))</f>
        <v/>
      </c>
      <c r="H18" s="64" t="str">
        <f>IF(F18="","",IF(E18="","",IF(W18="","",$O$10*(($K$9*F18^$K$10)*($L$9*E18^$L$10)*(ABS(W18-(($J$8*E18^$J$9)*F18^$J$10+$J$7)))^$M$10)+$P$10)))</f>
        <v/>
      </c>
      <c r="I18" s="29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65" t="str">
        <f>IF(J18="","",SUM(J18:S18))</f>
        <v/>
      </c>
      <c r="X18" s="25"/>
      <c r="Y18" s="25"/>
      <c r="Z18" s="25"/>
    </row>
    <row r="19" spans="1:26" ht="19.5" customHeight="1">
      <c r="A19" s="31"/>
      <c r="B19" s="60"/>
      <c r="C19" s="60"/>
      <c r="D19" s="31"/>
      <c r="E19" s="60"/>
      <c r="F19" s="60"/>
      <c r="G19" s="60"/>
      <c r="H19" s="60"/>
      <c r="I19" s="31"/>
      <c r="J19" s="33" t="str">
        <f>IF(ISERROR(Grafik!D55),"",Grafik!D55)</f>
        <v/>
      </c>
      <c r="K19" s="33" t="str">
        <f>IF(ISERROR(Grafik!E55),"",Grafik!E55)</f>
        <v/>
      </c>
      <c r="L19" s="33" t="str">
        <f>IF(ISERROR(Grafik!F55),"",Grafik!F55)</f>
        <v/>
      </c>
      <c r="M19" s="33" t="str">
        <f>IF(ISERROR(Grafik!G55),"",Grafik!G55)</f>
        <v/>
      </c>
      <c r="N19" s="33" t="str">
        <f>IF(ISERROR(Grafik!H55),"",Grafik!H55)</f>
        <v/>
      </c>
      <c r="O19" s="33" t="str">
        <f>IF(ISERROR(Grafik!I55),"",Grafik!I55)</f>
        <v/>
      </c>
      <c r="P19" s="33" t="str">
        <f>IF(ISERROR(Grafik!J55),"",Grafik!J55)</f>
        <v/>
      </c>
      <c r="Q19" s="33" t="str">
        <f>IF(ISERROR(Grafik!K55),"",Grafik!K55)</f>
        <v/>
      </c>
      <c r="R19" s="33" t="str">
        <f>IF(ISERROR(Grafik!L55),"",Grafik!L55)</f>
        <v/>
      </c>
      <c r="S19" s="33" t="str">
        <f>IF(ISERROR(Grafik!M55),"",Grafik!M55)</f>
        <v/>
      </c>
      <c r="T19" s="33" t="str">
        <f>IF(ISERROR(Grafik!N55),"",Grafik!N55)</f>
        <v/>
      </c>
      <c r="U19" s="33" t="str">
        <f>IF(ISERROR(Grafik!O55),"",Grafik!O55)</f>
        <v/>
      </c>
      <c r="V19" s="33" t="str">
        <f>IF(ISERROR(Grafik!P55),"",Grafik!P55)</f>
        <v/>
      </c>
      <c r="W19" s="66"/>
      <c r="X19" s="31"/>
      <c r="Y19" s="31"/>
      <c r="Z19" s="31"/>
    </row>
    <row r="20" spans="1:26" ht="19.5" customHeight="1">
      <c r="A20" s="25"/>
      <c r="B20" s="59"/>
      <c r="C20" s="61" t="str">
        <f>IF(B20="","",DATEDIF(Person!$C$22,B20,"y"))</f>
        <v/>
      </c>
      <c r="D20" s="25"/>
      <c r="E20" s="62"/>
      <c r="F20" s="63"/>
      <c r="G20" s="64" t="str">
        <f>IF(F20="","",IF(E20="","",IF(W20="","",F20*(100%-H20/100))))</f>
        <v/>
      </c>
      <c r="H20" s="64" t="str">
        <f>IF(F20="","",IF(E20="","",IF(W20="","",$O$10*(($K$9*F20^$K$10)*($L$9*E20^$L$10)*(ABS(W20-(($J$8*E20^$J$9)*F20^$J$10+$J$7)))^$M$10)+$P$10)))</f>
        <v/>
      </c>
      <c r="I20" s="29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65" t="str">
        <f>IF(J20="","",SUM(J20:S20))</f>
        <v/>
      </c>
      <c r="X20" s="25"/>
      <c r="Y20" s="25"/>
      <c r="Z20" s="25"/>
    </row>
    <row r="21" spans="1:26" ht="19.5" customHeight="1">
      <c r="A21" s="31"/>
      <c r="B21" s="60"/>
      <c r="C21" s="60"/>
      <c r="D21" s="31"/>
      <c r="E21" s="60"/>
      <c r="F21" s="60"/>
      <c r="G21" s="60"/>
      <c r="H21" s="60"/>
      <c r="I21" s="31"/>
      <c r="J21" s="33" t="str">
        <f>IF(ISERROR(Grafik!D57),"",Grafik!D57)</f>
        <v/>
      </c>
      <c r="K21" s="33" t="str">
        <f>IF(ISERROR(Grafik!E57),"",Grafik!E57)</f>
        <v/>
      </c>
      <c r="L21" s="33" t="str">
        <f>IF(ISERROR(Grafik!F57),"",Grafik!F57)</f>
        <v/>
      </c>
      <c r="M21" s="33" t="str">
        <f>IF(ISERROR(Grafik!G57),"",Grafik!G57)</f>
        <v/>
      </c>
      <c r="N21" s="33" t="str">
        <f>IF(ISERROR(Grafik!H57),"",Grafik!H57)</f>
        <v/>
      </c>
      <c r="O21" s="33" t="str">
        <f>IF(ISERROR(Grafik!I57),"",Grafik!I57)</f>
        <v/>
      </c>
      <c r="P21" s="33" t="str">
        <f>IF(ISERROR(Grafik!J57),"",Grafik!J57)</f>
        <v/>
      </c>
      <c r="Q21" s="33" t="str">
        <f>IF(ISERROR(Grafik!K57),"",Grafik!K57)</f>
        <v/>
      </c>
      <c r="R21" s="33" t="str">
        <f>IF(ISERROR(Grafik!L57),"",Grafik!L57)</f>
        <v/>
      </c>
      <c r="S21" s="33" t="str">
        <f>IF(ISERROR(Grafik!M57),"",Grafik!M57)</f>
        <v/>
      </c>
      <c r="T21" s="33" t="str">
        <f>IF(ISERROR(Grafik!N57),"",Grafik!N57)</f>
        <v/>
      </c>
      <c r="U21" s="33" t="str">
        <f>IF(ISERROR(Grafik!O57),"",Grafik!O57)</f>
        <v/>
      </c>
      <c r="V21" s="33" t="str">
        <f>IF(ISERROR(Grafik!P57),"",Grafik!P57)</f>
        <v/>
      </c>
      <c r="W21" s="66"/>
      <c r="X21" s="31"/>
      <c r="Y21" s="31"/>
      <c r="Z21" s="31"/>
    </row>
    <row r="22" spans="1:26" ht="19.5" customHeight="1">
      <c r="A22" s="25"/>
      <c r="B22" s="59"/>
      <c r="C22" s="61" t="str">
        <f>IF(B22="","",DATEDIF(Person!$C$22,B22,"y"))</f>
        <v/>
      </c>
      <c r="D22" s="25"/>
      <c r="E22" s="62"/>
      <c r="F22" s="63"/>
      <c r="G22" s="64" t="str">
        <f>IF(F22="","",IF(E22="","",IF(W22="","",F22*(100%-H22/100))))</f>
        <v/>
      </c>
      <c r="H22" s="64" t="str">
        <f>IF(F22="","",IF(E22="","",IF(W22="","",$O$10*(($K$9*F22^$K$10)*($L$9*E22^$L$10)*(ABS(W22-(($J$8*E22^$J$9)*F22^$J$10+$J$7)))^$M$10)+$P$10)))</f>
        <v/>
      </c>
      <c r="I22" s="29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65" t="str">
        <f>IF(J22="","",SUM(J22:S22))</f>
        <v/>
      </c>
      <c r="X22" s="25"/>
      <c r="Y22" s="25"/>
      <c r="Z22" s="25"/>
    </row>
    <row r="23" spans="1:26" ht="19.5" customHeight="1">
      <c r="A23" s="31"/>
      <c r="B23" s="60"/>
      <c r="C23" s="60"/>
      <c r="D23" s="31"/>
      <c r="E23" s="60"/>
      <c r="F23" s="60"/>
      <c r="G23" s="60"/>
      <c r="H23" s="60"/>
      <c r="I23" s="31"/>
      <c r="J23" s="33" t="str">
        <f>IF(ISERROR(Grafik!D59),"",Grafik!D59)</f>
        <v/>
      </c>
      <c r="K23" s="33" t="str">
        <f>IF(ISERROR(Grafik!E59),"",Grafik!E59)</f>
        <v/>
      </c>
      <c r="L23" s="33" t="str">
        <f>IF(ISERROR(Grafik!F59),"",Grafik!F59)</f>
        <v/>
      </c>
      <c r="M23" s="33" t="str">
        <f>IF(ISERROR(Grafik!G59),"",Grafik!G59)</f>
        <v/>
      </c>
      <c r="N23" s="33" t="str">
        <f>IF(ISERROR(Grafik!H59),"",Grafik!H59)</f>
        <v/>
      </c>
      <c r="O23" s="33" t="str">
        <f>IF(ISERROR(Grafik!I59),"",Grafik!I59)</f>
        <v/>
      </c>
      <c r="P23" s="33" t="str">
        <f>IF(ISERROR(Grafik!J59),"",Grafik!J59)</f>
        <v/>
      </c>
      <c r="Q23" s="33" t="str">
        <f>IF(ISERROR(Grafik!K59),"",Grafik!K59)</f>
        <v/>
      </c>
      <c r="R23" s="33" t="str">
        <f>IF(ISERROR(Grafik!L59),"",Grafik!L59)</f>
        <v/>
      </c>
      <c r="S23" s="33" t="str">
        <f>IF(ISERROR(Grafik!M59),"",Grafik!M59)</f>
        <v/>
      </c>
      <c r="T23" s="33" t="str">
        <f>IF(ISERROR(Grafik!N59),"",Grafik!N59)</f>
        <v/>
      </c>
      <c r="U23" s="33" t="str">
        <f>IF(ISERROR(Grafik!O59),"",Grafik!O59)</f>
        <v/>
      </c>
      <c r="V23" s="33" t="str">
        <f>IF(ISERROR(Grafik!P59),"",Grafik!P59)</f>
        <v/>
      </c>
      <c r="W23" s="66"/>
      <c r="X23" s="31"/>
      <c r="Y23" s="31"/>
      <c r="Z23" s="31"/>
    </row>
    <row r="24" spans="1:26" ht="19.5" customHeight="1">
      <c r="A24" s="25"/>
      <c r="B24" s="59"/>
      <c r="C24" s="61" t="str">
        <f>IF(B24="","",DATEDIF(Person!$C$22,B24,"y"))</f>
        <v/>
      </c>
      <c r="D24" s="25"/>
      <c r="E24" s="62"/>
      <c r="F24" s="63"/>
      <c r="G24" s="64" t="str">
        <f>IF(F24="","",IF(E24="","",IF(W24="","",F24*(100%-H24/100))))</f>
        <v/>
      </c>
      <c r="H24" s="64" t="str">
        <f>IF(F24="","",IF(E24="","",IF(W24="","",$O$10*(($K$9*F24^$K$10)*($L$9*E24^$L$10)*(ABS(W24-(($J$8*E24^$J$9)*F24^$J$10+$J$7)))^$M$10)+$P$10)))</f>
        <v/>
      </c>
      <c r="I24" s="29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65" t="str">
        <f>IF(J24="","",SUM(J24:S24))</f>
        <v/>
      </c>
      <c r="X24" s="25"/>
      <c r="Y24" s="25"/>
      <c r="Z24" s="25"/>
    </row>
    <row r="25" spans="1:26" ht="19.5" customHeight="1">
      <c r="A25" s="31"/>
      <c r="B25" s="60"/>
      <c r="C25" s="60"/>
      <c r="D25" s="31"/>
      <c r="E25" s="60"/>
      <c r="F25" s="60"/>
      <c r="G25" s="60"/>
      <c r="H25" s="60"/>
      <c r="I25" s="31"/>
      <c r="J25" s="33" t="str">
        <f>IF(ISERROR(Grafik!D61),"",Grafik!D61)</f>
        <v/>
      </c>
      <c r="K25" s="33" t="str">
        <f>IF(ISERROR(Grafik!E61),"",Grafik!E61)</f>
        <v/>
      </c>
      <c r="L25" s="33" t="str">
        <f>IF(ISERROR(Grafik!F61),"",Grafik!F61)</f>
        <v/>
      </c>
      <c r="M25" s="33" t="str">
        <f>IF(ISERROR(Grafik!G61),"",Grafik!G61)</f>
        <v/>
      </c>
      <c r="N25" s="33" t="str">
        <f>IF(ISERROR(Grafik!H61),"",Grafik!H61)</f>
        <v/>
      </c>
      <c r="O25" s="33" t="str">
        <f>IF(ISERROR(Grafik!I61),"",Grafik!I61)</f>
        <v/>
      </c>
      <c r="P25" s="33" t="str">
        <f>IF(ISERROR(Grafik!J61),"",Grafik!J61)</f>
        <v/>
      </c>
      <c r="Q25" s="33" t="str">
        <f>IF(ISERROR(Grafik!K61),"",Grafik!K61)</f>
        <v/>
      </c>
      <c r="R25" s="33" t="str">
        <f>IF(ISERROR(Grafik!L61),"",Grafik!L61)</f>
        <v/>
      </c>
      <c r="S25" s="33" t="str">
        <f>IF(ISERROR(Grafik!M61),"",Grafik!M61)</f>
        <v/>
      </c>
      <c r="T25" s="33" t="str">
        <f>IF(ISERROR(Grafik!N61),"",Grafik!N61)</f>
        <v/>
      </c>
      <c r="U25" s="33" t="str">
        <f>IF(ISERROR(Grafik!O61),"",Grafik!O61)</f>
        <v/>
      </c>
      <c r="V25" s="33" t="str">
        <f>IF(ISERROR(Grafik!P61),"",Grafik!P61)</f>
        <v/>
      </c>
      <c r="W25" s="66"/>
      <c r="X25" s="31"/>
      <c r="Y25" s="31"/>
      <c r="Z25" s="31"/>
    </row>
    <row r="26" spans="1:26" ht="19.5" customHeight="1">
      <c r="A26" s="25"/>
      <c r="B26" s="59"/>
      <c r="C26" s="61" t="str">
        <f>IF(B26="","",DATEDIF(Person!$C$22,B26,"y"))</f>
        <v/>
      </c>
      <c r="D26" s="25"/>
      <c r="E26" s="62"/>
      <c r="F26" s="63"/>
      <c r="G26" s="64" t="str">
        <f>IF(F26="","",IF(E26="","",IF(W26="","",F26*(100%-H26/100))))</f>
        <v/>
      </c>
      <c r="H26" s="64" t="str">
        <f>IF(F26="","",IF(E26="","",IF(W26="","",$O$10*(($K$9*F26^$K$10)*($L$9*E26^$L$10)*(ABS(W26-(($J$8*E26^$J$9)*F26^$J$10+$J$7)))^$M$10)+$P$10)))</f>
        <v/>
      </c>
      <c r="I26" s="29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65" t="str">
        <f>IF(J26="","",SUM(J26:S26))</f>
        <v/>
      </c>
      <c r="X26" s="25"/>
      <c r="Y26" s="25"/>
      <c r="Z26" s="25"/>
    </row>
    <row r="27" spans="1:26" ht="19.5" customHeight="1">
      <c r="A27" s="31"/>
      <c r="B27" s="60"/>
      <c r="C27" s="60"/>
      <c r="D27" s="31"/>
      <c r="E27" s="60"/>
      <c r="F27" s="60"/>
      <c r="G27" s="60"/>
      <c r="H27" s="60"/>
      <c r="I27" s="31"/>
      <c r="J27" s="33" t="str">
        <f>IF(ISERROR(Grafik!D63),"",Grafik!D63)</f>
        <v/>
      </c>
      <c r="K27" s="33" t="str">
        <f>IF(ISERROR(Grafik!E63),"",Grafik!E63)</f>
        <v/>
      </c>
      <c r="L27" s="33" t="str">
        <f>IF(ISERROR(Grafik!F63),"",Grafik!F63)</f>
        <v/>
      </c>
      <c r="M27" s="33" t="str">
        <f>IF(ISERROR(Grafik!G63),"",Grafik!G63)</f>
        <v/>
      </c>
      <c r="N27" s="33" t="str">
        <f>IF(ISERROR(Grafik!H63),"",Grafik!H63)</f>
        <v/>
      </c>
      <c r="O27" s="33" t="str">
        <f>IF(ISERROR(Grafik!I63),"",Grafik!I63)</f>
        <v/>
      </c>
      <c r="P27" s="33" t="str">
        <f>IF(ISERROR(Grafik!J63),"",Grafik!J63)</f>
        <v/>
      </c>
      <c r="Q27" s="33" t="str">
        <f>IF(ISERROR(Grafik!K63),"",Grafik!K63)</f>
        <v/>
      </c>
      <c r="R27" s="33" t="str">
        <f>IF(ISERROR(Grafik!L63),"",Grafik!L63)</f>
        <v/>
      </c>
      <c r="S27" s="33" t="str">
        <f>IF(ISERROR(Grafik!M63),"",Grafik!M63)</f>
        <v/>
      </c>
      <c r="T27" s="33" t="str">
        <f>IF(ISERROR(Grafik!N63),"",Grafik!N63)</f>
        <v/>
      </c>
      <c r="U27" s="33" t="str">
        <f>IF(ISERROR(Grafik!O63),"",Grafik!O63)</f>
        <v/>
      </c>
      <c r="V27" s="33" t="str">
        <f>IF(ISERROR(Grafik!P63),"",Grafik!P63)</f>
        <v/>
      </c>
      <c r="W27" s="66"/>
      <c r="X27" s="31"/>
      <c r="Y27" s="31"/>
      <c r="Z27" s="31"/>
    </row>
    <row r="28" spans="1:26" ht="19.5" customHeight="1">
      <c r="A28" s="25"/>
      <c r="B28" s="59"/>
      <c r="C28" s="61" t="str">
        <f>IF(B28="","",DATEDIF(Person!$C$22,B28,"y"))</f>
        <v/>
      </c>
      <c r="D28" s="25"/>
      <c r="E28" s="62"/>
      <c r="F28" s="63"/>
      <c r="G28" s="64" t="str">
        <f>IF(F28="","",IF(E28="","",IF(W28="","",F28*(100%-H28/100))))</f>
        <v/>
      </c>
      <c r="H28" s="64" t="str">
        <f>IF(F28="","",IF(E28="","",IF(W28="","",$O$10*(($K$9*F28^$K$10)*($L$9*E28^$L$10)*(ABS(W28-(($J$8*E28^$J$9)*F28^$J$10+$J$7)))^$M$10)+$P$10)))</f>
        <v/>
      </c>
      <c r="I28" s="29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65" t="str">
        <f>IF(J28="","",SUM(J28:S28))</f>
        <v/>
      </c>
      <c r="X28" s="25"/>
      <c r="Y28" s="25"/>
      <c r="Z28" s="25"/>
    </row>
    <row r="29" spans="1:26" ht="19.5" customHeight="1">
      <c r="A29" s="31"/>
      <c r="B29" s="60"/>
      <c r="C29" s="60"/>
      <c r="D29" s="31"/>
      <c r="E29" s="60"/>
      <c r="F29" s="60"/>
      <c r="G29" s="60"/>
      <c r="H29" s="60"/>
      <c r="I29" s="31"/>
      <c r="J29" s="33" t="str">
        <f>IF(ISERROR(Grafik!D65),"",Grafik!D65)</f>
        <v/>
      </c>
      <c r="K29" s="33" t="str">
        <f>IF(ISERROR(Grafik!E65),"",Grafik!E65)</f>
        <v/>
      </c>
      <c r="L29" s="33" t="str">
        <f>IF(ISERROR(Grafik!F65),"",Grafik!F65)</f>
        <v/>
      </c>
      <c r="M29" s="33" t="str">
        <f>IF(ISERROR(Grafik!G65),"",Grafik!G65)</f>
        <v/>
      </c>
      <c r="N29" s="33" t="str">
        <f>IF(ISERROR(Grafik!H65),"",Grafik!H65)</f>
        <v/>
      </c>
      <c r="O29" s="33" t="str">
        <f>IF(ISERROR(Grafik!I65),"",Grafik!I65)</f>
        <v/>
      </c>
      <c r="P29" s="33" t="str">
        <f>IF(ISERROR(Grafik!J65),"",Grafik!J65)</f>
        <v/>
      </c>
      <c r="Q29" s="33" t="str">
        <f>IF(ISERROR(Grafik!K65),"",Grafik!K65)</f>
        <v/>
      </c>
      <c r="R29" s="33" t="str">
        <f>IF(ISERROR(Grafik!L65),"",Grafik!L65)</f>
        <v/>
      </c>
      <c r="S29" s="33" t="str">
        <f>IF(ISERROR(Grafik!M65),"",Grafik!M65)</f>
        <v/>
      </c>
      <c r="T29" s="33" t="str">
        <f>IF(ISERROR(Grafik!N65),"",Grafik!N65)</f>
        <v/>
      </c>
      <c r="U29" s="33" t="str">
        <f>IF(ISERROR(Grafik!O65),"",Grafik!O65)</f>
        <v/>
      </c>
      <c r="V29" s="33" t="str">
        <f>IF(ISERROR(Grafik!P65),"",Grafik!P65)</f>
        <v/>
      </c>
      <c r="W29" s="66"/>
      <c r="X29" s="31"/>
      <c r="Y29" s="31"/>
      <c r="Z29" s="31"/>
    </row>
    <row r="30" spans="1:26" ht="19.5" customHeight="1">
      <c r="A30" s="25"/>
      <c r="B30" s="59"/>
      <c r="C30" s="61" t="str">
        <f>IF(B30="","",DATEDIF(Person!$C$22,B30,"y"))</f>
        <v/>
      </c>
      <c r="D30" s="25"/>
      <c r="E30" s="62"/>
      <c r="F30" s="63"/>
      <c r="G30" s="64" t="str">
        <f>IF(F30="","",IF(E30="","",IF(W30="","",F30*(100%-H30/100))))</f>
        <v/>
      </c>
      <c r="H30" s="64" t="str">
        <f>IF(F30="","",IF(E30="","",IF(W30="","",$O$10*(($K$9*F30^$K$10)*($L$9*E30^$L$10)*(ABS(W30-(($J$8*E30^$J$9)*F30^$J$10+$J$7)))^$M$10)+$P$10)))</f>
        <v/>
      </c>
      <c r="I30" s="29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65" t="str">
        <f>IF(J30="","",SUM(J30:S30))</f>
        <v/>
      </c>
      <c r="X30" s="25"/>
      <c r="Y30" s="25"/>
      <c r="Z30" s="25"/>
    </row>
    <row r="31" spans="1:26" ht="19.5" customHeight="1">
      <c r="A31" s="31"/>
      <c r="B31" s="60"/>
      <c r="C31" s="60"/>
      <c r="D31" s="31"/>
      <c r="E31" s="60"/>
      <c r="F31" s="60"/>
      <c r="G31" s="60"/>
      <c r="H31" s="60"/>
      <c r="I31" s="31"/>
      <c r="J31" s="33" t="str">
        <f>IF(ISERROR(Grafik!D67),"",Grafik!D67)</f>
        <v/>
      </c>
      <c r="K31" s="33" t="str">
        <f>IF(ISERROR(Grafik!E67),"",Grafik!E67)</f>
        <v/>
      </c>
      <c r="L31" s="33" t="str">
        <f>IF(ISERROR(Grafik!F67),"",Grafik!F67)</f>
        <v/>
      </c>
      <c r="M31" s="33" t="str">
        <f>IF(ISERROR(Grafik!G67),"",Grafik!G67)</f>
        <v/>
      </c>
      <c r="N31" s="33" t="str">
        <f>IF(ISERROR(Grafik!H67),"",Grafik!H67)</f>
        <v/>
      </c>
      <c r="O31" s="33" t="str">
        <f>IF(ISERROR(Grafik!I67),"",Grafik!I67)</f>
        <v/>
      </c>
      <c r="P31" s="33" t="str">
        <f>IF(ISERROR(Grafik!J67),"",Grafik!J67)</f>
        <v/>
      </c>
      <c r="Q31" s="33" t="str">
        <f>IF(ISERROR(Grafik!K67),"",Grafik!K67)</f>
        <v/>
      </c>
      <c r="R31" s="33" t="str">
        <f>IF(ISERROR(Grafik!L67),"",Grafik!L67)</f>
        <v/>
      </c>
      <c r="S31" s="33" t="str">
        <f>IF(ISERROR(Grafik!M67),"",Grafik!M67)</f>
        <v/>
      </c>
      <c r="T31" s="33" t="str">
        <f>IF(ISERROR(Grafik!N67),"",Grafik!N67)</f>
        <v/>
      </c>
      <c r="U31" s="33" t="str">
        <f>IF(ISERROR(Grafik!O67),"",Grafik!O67)</f>
        <v/>
      </c>
      <c r="V31" s="33" t="str">
        <f>IF(ISERROR(Grafik!P67),"",Grafik!P67)</f>
        <v/>
      </c>
      <c r="W31" s="66"/>
      <c r="X31" s="31"/>
      <c r="Y31" s="31"/>
      <c r="Z31" s="31"/>
    </row>
    <row r="32" spans="1:26" ht="19.5" customHeight="1">
      <c r="A32" s="25"/>
      <c r="B32" s="59"/>
      <c r="C32" s="61" t="str">
        <f>IF(B32="","",DATEDIF(Person!$C$22,B32,"y"))</f>
        <v/>
      </c>
      <c r="D32" s="25"/>
      <c r="E32" s="62"/>
      <c r="F32" s="63"/>
      <c r="G32" s="64" t="str">
        <f>IF(F32="","",IF(E32="","",IF(W32="","",F32*(100%-H32/100))))</f>
        <v/>
      </c>
      <c r="H32" s="64" t="str">
        <f>IF(F32="","",IF(E32="","",IF(W32="","",$O$10*(($K$9*F32^$K$10)*($L$9*E32^$L$10)*(ABS(W32-(($J$8*E32^$J$9)*F32^$J$10+$J$7)))^$M$10)+$P$10)))</f>
        <v/>
      </c>
      <c r="I32" s="29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65" t="str">
        <f>IF(J32="","",SUM(J32:S32))</f>
        <v/>
      </c>
      <c r="X32" s="25"/>
      <c r="Y32" s="25"/>
      <c r="Z32" s="25"/>
    </row>
    <row r="33" spans="1:26" ht="19.5" customHeight="1">
      <c r="A33" s="31"/>
      <c r="B33" s="60"/>
      <c r="C33" s="60"/>
      <c r="D33" s="31"/>
      <c r="E33" s="60"/>
      <c r="F33" s="60"/>
      <c r="G33" s="60"/>
      <c r="H33" s="60"/>
      <c r="I33" s="31"/>
      <c r="J33" s="33" t="str">
        <f>IF(ISERROR(Grafik!D69),"",Grafik!D69)</f>
        <v/>
      </c>
      <c r="K33" s="33" t="str">
        <f>IF(ISERROR(Grafik!E69),"",Grafik!E69)</f>
        <v/>
      </c>
      <c r="L33" s="33" t="str">
        <f>IF(ISERROR(Grafik!F69),"",Grafik!F69)</f>
        <v/>
      </c>
      <c r="M33" s="33" t="str">
        <f>IF(ISERROR(Grafik!G69),"",Grafik!G69)</f>
        <v/>
      </c>
      <c r="N33" s="33" t="str">
        <f>IF(ISERROR(Grafik!H69),"",Grafik!H69)</f>
        <v/>
      </c>
      <c r="O33" s="33" t="str">
        <f>IF(ISERROR(Grafik!I69),"",Grafik!I69)</f>
        <v/>
      </c>
      <c r="P33" s="33" t="str">
        <f>IF(ISERROR(Grafik!J69),"",Grafik!J69)</f>
        <v/>
      </c>
      <c r="Q33" s="33" t="str">
        <f>IF(ISERROR(Grafik!K69),"",Grafik!K69)</f>
        <v/>
      </c>
      <c r="R33" s="33" t="str">
        <f>IF(ISERROR(Grafik!L69),"",Grafik!L69)</f>
        <v/>
      </c>
      <c r="S33" s="33" t="str">
        <f>IF(ISERROR(Grafik!M69),"",Grafik!M69)</f>
        <v/>
      </c>
      <c r="T33" s="33" t="str">
        <f>IF(ISERROR(Grafik!N69),"",Grafik!N69)</f>
        <v/>
      </c>
      <c r="U33" s="33" t="str">
        <f>IF(ISERROR(Grafik!O69),"",Grafik!O69)</f>
        <v/>
      </c>
      <c r="V33" s="33" t="str">
        <f>IF(ISERROR(Grafik!P69),"",Grafik!P69)</f>
        <v/>
      </c>
      <c r="W33" s="66"/>
      <c r="X33" s="31"/>
      <c r="Y33" s="31"/>
      <c r="Z33" s="31"/>
    </row>
    <row r="34" spans="1:26" ht="19.5" customHeight="1">
      <c r="A34" s="25"/>
      <c r="B34" s="59"/>
      <c r="C34" s="61" t="str">
        <f>IF(B34="","",DATEDIF(Person!$C$22,B34,"y"))</f>
        <v/>
      </c>
      <c r="D34" s="25"/>
      <c r="E34" s="62"/>
      <c r="F34" s="63"/>
      <c r="G34" s="64" t="str">
        <f>IF(F34="","",IF(E34="","",IF(W34="","",F34*(100%-H34/100))))</f>
        <v/>
      </c>
      <c r="H34" s="64" t="str">
        <f>IF(F34="","",IF(E34="","",IF(W34="","",$O$10*(($K$9*F34^$K$10)*($L$9*E34^$L$10)*(ABS(W34-(($J$8*E34^$J$9)*F34^$J$10+$J$7)))^$M$10)+$P$10)))</f>
        <v/>
      </c>
      <c r="I34" s="29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65" t="str">
        <f>IF(J34="","",SUM(J34:S34))</f>
        <v/>
      </c>
      <c r="X34" s="25"/>
      <c r="Y34" s="25"/>
      <c r="Z34" s="25"/>
    </row>
    <row r="35" spans="1:26" ht="19.5" customHeight="1">
      <c r="A35" s="31"/>
      <c r="B35" s="60"/>
      <c r="C35" s="60"/>
      <c r="D35" s="31"/>
      <c r="E35" s="60"/>
      <c r="F35" s="60"/>
      <c r="G35" s="60"/>
      <c r="H35" s="60"/>
      <c r="I35" s="31"/>
      <c r="J35" s="33" t="str">
        <f>IF(ISERROR(Grafik!D71),"",Grafik!D71)</f>
        <v/>
      </c>
      <c r="K35" s="33" t="str">
        <f>IF(ISERROR(Grafik!E71),"",Grafik!E71)</f>
        <v/>
      </c>
      <c r="L35" s="33" t="str">
        <f>IF(ISERROR(Grafik!F71),"",Grafik!F71)</f>
        <v/>
      </c>
      <c r="M35" s="33" t="str">
        <f>IF(ISERROR(Grafik!G71),"",Grafik!G71)</f>
        <v/>
      </c>
      <c r="N35" s="33" t="str">
        <f>IF(ISERROR(Grafik!H71),"",Grafik!H71)</f>
        <v/>
      </c>
      <c r="O35" s="33" t="str">
        <f>IF(ISERROR(Grafik!I71),"",Grafik!I71)</f>
        <v/>
      </c>
      <c r="P35" s="33" t="str">
        <f>IF(ISERROR(Grafik!J71),"",Grafik!J71)</f>
        <v/>
      </c>
      <c r="Q35" s="33" t="str">
        <f>IF(ISERROR(Grafik!K71),"",Grafik!K71)</f>
        <v/>
      </c>
      <c r="R35" s="33" t="str">
        <f>IF(ISERROR(Grafik!L71),"",Grafik!L71)</f>
        <v/>
      </c>
      <c r="S35" s="33" t="str">
        <f>IF(ISERROR(Grafik!M71),"",Grafik!M71)</f>
        <v/>
      </c>
      <c r="T35" s="33" t="str">
        <f>IF(ISERROR(Grafik!N71),"",Grafik!N71)</f>
        <v/>
      </c>
      <c r="U35" s="33" t="str">
        <f>IF(ISERROR(Grafik!O71),"",Grafik!O71)</f>
        <v/>
      </c>
      <c r="V35" s="33" t="str">
        <f>IF(ISERROR(Grafik!P71),"",Grafik!P71)</f>
        <v/>
      </c>
      <c r="W35" s="66"/>
      <c r="X35" s="31"/>
      <c r="Y35" s="31"/>
      <c r="Z35" s="31"/>
    </row>
    <row r="36" spans="1:26" ht="19.5" customHeight="1">
      <c r="A36" s="25"/>
      <c r="B36" s="59"/>
      <c r="C36" s="61" t="str">
        <f>IF(B36="","",DATEDIF(Person!$C$22,B36,"y"))</f>
        <v/>
      </c>
      <c r="D36" s="25"/>
      <c r="E36" s="62"/>
      <c r="F36" s="63"/>
      <c r="G36" s="64" t="str">
        <f>IF(F36="","",IF(E36="","",IF(W36="","",F36*(100%-H36/100))))</f>
        <v/>
      </c>
      <c r="H36" s="64" t="str">
        <f>IF(F36="","",IF(E36="","",IF(W36="","",$O$10*(($K$9*F36^$K$10)*($L$9*E36^$L$10)*(ABS(W36-(($J$8*E36^$J$9)*F36^$J$10+$J$7)))^$M$10)+$P$10)))</f>
        <v/>
      </c>
      <c r="I36" s="29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65" t="str">
        <f>IF(J36="","",SUM(J36:S36))</f>
        <v/>
      </c>
      <c r="X36" s="25"/>
      <c r="Y36" s="25"/>
      <c r="Z36" s="25"/>
    </row>
    <row r="37" spans="1:26" ht="19.5" customHeight="1">
      <c r="A37" s="31"/>
      <c r="B37" s="60"/>
      <c r="C37" s="60"/>
      <c r="D37" s="31"/>
      <c r="E37" s="60"/>
      <c r="F37" s="60"/>
      <c r="G37" s="60"/>
      <c r="H37" s="60"/>
      <c r="I37" s="31"/>
      <c r="J37" s="33" t="str">
        <f>IF(ISERROR(Grafik!D73),"",Grafik!D73)</f>
        <v/>
      </c>
      <c r="K37" s="33" t="str">
        <f>IF(ISERROR(Grafik!E73),"",Grafik!E73)</f>
        <v/>
      </c>
      <c r="L37" s="33" t="str">
        <f>IF(ISERROR(Grafik!F73),"",Grafik!F73)</f>
        <v/>
      </c>
      <c r="M37" s="33" t="str">
        <f>IF(ISERROR(Grafik!G73),"",Grafik!G73)</f>
        <v/>
      </c>
      <c r="N37" s="33" t="str">
        <f>IF(ISERROR(Grafik!H73),"",Grafik!H73)</f>
        <v/>
      </c>
      <c r="O37" s="33" t="str">
        <f>IF(ISERROR(Grafik!I73),"",Grafik!I73)</f>
        <v/>
      </c>
      <c r="P37" s="33" t="str">
        <f>IF(ISERROR(Grafik!J73),"",Grafik!J73)</f>
        <v/>
      </c>
      <c r="Q37" s="33" t="str">
        <f>IF(ISERROR(Grafik!K73),"",Grafik!K73)</f>
        <v/>
      </c>
      <c r="R37" s="33" t="str">
        <f>IF(ISERROR(Grafik!L73),"",Grafik!L73)</f>
        <v/>
      </c>
      <c r="S37" s="33" t="str">
        <f>IF(ISERROR(Grafik!M73),"",Grafik!M73)</f>
        <v/>
      </c>
      <c r="T37" s="33" t="str">
        <f>IF(ISERROR(Grafik!N73),"",Grafik!N73)</f>
        <v/>
      </c>
      <c r="U37" s="33" t="str">
        <f>IF(ISERROR(Grafik!O73),"",Grafik!O73)</f>
        <v/>
      </c>
      <c r="V37" s="33" t="str">
        <f>IF(ISERROR(Grafik!P73),"",Grafik!P73)</f>
        <v/>
      </c>
      <c r="W37" s="66"/>
      <c r="X37" s="31"/>
      <c r="Y37" s="31"/>
      <c r="Z37" s="31"/>
    </row>
    <row r="38" spans="1:26" ht="19.5" customHeight="1">
      <c r="A38" s="25"/>
      <c r="B38" s="59"/>
      <c r="C38" s="61" t="str">
        <f>IF(B38="","",DATEDIF(Person!$C$22,B38,"y"))</f>
        <v/>
      </c>
      <c r="D38" s="25"/>
      <c r="E38" s="62"/>
      <c r="F38" s="63"/>
      <c r="G38" s="64" t="str">
        <f>IF(F38="","",IF(E38="","",IF(W38="","",F38*(100%-H38/100))))</f>
        <v/>
      </c>
      <c r="H38" s="64" t="str">
        <f>IF(F38="","",IF(E38="","",IF(W38="","",$O$10*(($K$9*F38^$K$10)*($L$9*E38^$L$10)*(ABS(W38-(($J$8*E38^$J$9)*F38^$J$10+$J$7)))^$M$10)+$P$10)))</f>
        <v/>
      </c>
      <c r="I38" s="29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65" t="str">
        <f>IF(J38="","",SUM(J38:S38))</f>
        <v/>
      </c>
      <c r="X38" s="25"/>
      <c r="Y38" s="25"/>
      <c r="Z38" s="25"/>
    </row>
    <row r="39" spans="1:26" ht="19.5" customHeight="1">
      <c r="A39" s="31"/>
      <c r="B39" s="60"/>
      <c r="C39" s="60"/>
      <c r="D39" s="31"/>
      <c r="E39" s="60"/>
      <c r="F39" s="60"/>
      <c r="G39" s="60"/>
      <c r="H39" s="60"/>
      <c r="I39" s="31"/>
      <c r="J39" s="33" t="str">
        <f>IF(ISERROR(Grafik!D75),"",Grafik!D75)</f>
        <v/>
      </c>
      <c r="K39" s="33" t="str">
        <f>IF(ISERROR(Grafik!E75),"",Grafik!E75)</f>
        <v/>
      </c>
      <c r="L39" s="33" t="str">
        <f>IF(ISERROR(Grafik!F75),"",Grafik!F75)</f>
        <v/>
      </c>
      <c r="M39" s="33" t="str">
        <f>IF(ISERROR(Grafik!G75),"",Grafik!G75)</f>
        <v/>
      </c>
      <c r="N39" s="33" t="str">
        <f>IF(ISERROR(Grafik!H75),"",Grafik!H75)</f>
        <v/>
      </c>
      <c r="O39" s="33" t="str">
        <f>IF(ISERROR(Grafik!I75),"",Grafik!I75)</f>
        <v/>
      </c>
      <c r="P39" s="33" t="str">
        <f>IF(ISERROR(Grafik!J75),"",Grafik!J75)</f>
        <v/>
      </c>
      <c r="Q39" s="33" t="str">
        <f>IF(ISERROR(Grafik!K75),"",Grafik!K75)</f>
        <v/>
      </c>
      <c r="R39" s="33" t="str">
        <f>IF(ISERROR(Grafik!L75),"",Grafik!L75)</f>
        <v/>
      </c>
      <c r="S39" s="33" t="str">
        <f>IF(ISERROR(Grafik!M75),"",Grafik!M75)</f>
        <v/>
      </c>
      <c r="T39" s="33" t="str">
        <f>IF(ISERROR(Grafik!N75),"",Grafik!N75)</f>
        <v/>
      </c>
      <c r="U39" s="33" t="str">
        <f>IF(ISERROR(Grafik!O75),"",Grafik!O75)</f>
        <v/>
      </c>
      <c r="V39" s="33" t="str">
        <f>IF(ISERROR(Grafik!P75),"",Grafik!P75)</f>
        <v/>
      </c>
      <c r="W39" s="66"/>
      <c r="X39" s="31"/>
      <c r="Y39" s="31"/>
      <c r="Z39" s="31"/>
    </row>
    <row r="40" spans="1:26" ht="19.5" customHeight="1">
      <c r="A40" s="25"/>
      <c r="B40" s="59"/>
      <c r="C40" s="61" t="str">
        <f>IF(B40="","",DATEDIF(Person!$C$22,B40,"y"))</f>
        <v/>
      </c>
      <c r="D40" s="25"/>
      <c r="E40" s="62"/>
      <c r="F40" s="63"/>
      <c r="G40" s="64" t="str">
        <f>IF(F40="","",IF(E40="","",IF(W40="","",F40*(100%-H40/100))))</f>
        <v/>
      </c>
      <c r="H40" s="64" t="str">
        <f>IF(F40="","",IF(E40="","",IF(W40="","",$O$10*(($K$9*F40^$K$10)*($L$9*E40^$L$10)*(ABS(W40-(($J$8*E40^$J$9)*F40^$J$10+$J$7)))^$M$10)+$P$10)))</f>
        <v/>
      </c>
      <c r="I40" s="29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65" t="str">
        <f>IF(J40="","",SUM(J40:S40))</f>
        <v/>
      </c>
      <c r="X40" s="25"/>
      <c r="Y40" s="25"/>
      <c r="Z40" s="25"/>
    </row>
    <row r="41" spans="1:26" ht="19.5" customHeight="1">
      <c r="A41" s="31"/>
      <c r="B41" s="60"/>
      <c r="C41" s="60"/>
      <c r="D41" s="31"/>
      <c r="E41" s="60"/>
      <c r="F41" s="60"/>
      <c r="G41" s="60"/>
      <c r="H41" s="60"/>
      <c r="I41" s="31"/>
      <c r="J41" s="33" t="str">
        <f>IF(ISERROR(Grafik!D77),"",Grafik!D77)</f>
        <v/>
      </c>
      <c r="K41" s="33" t="str">
        <f>IF(ISERROR(Grafik!E77),"",Grafik!E77)</f>
        <v/>
      </c>
      <c r="L41" s="33" t="str">
        <f>IF(ISERROR(Grafik!F77),"",Grafik!F77)</f>
        <v/>
      </c>
      <c r="M41" s="33" t="str">
        <f>IF(ISERROR(Grafik!G77),"",Grafik!G77)</f>
        <v/>
      </c>
      <c r="N41" s="33" t="str">
        <f>IF(ISERROR(Grafik!H77),"",Grafik!H77)</f>
        <v/>
      </c>
      <c r="O41" s="33" t="str">
        <f>IF(ISERROR(Grafik!I77),"",Grafik!I77)</f>
        <v/>
      </c>
      <c r="P41" s="33" t="str">
        <f>IF(ISERROR(Grafik!J77),"",Grafik!J77)</f>
        <v/>
      </c>
      <c r="Q41" s="33" t="str">
        <f>IF(ISERROR(Grafik!K77),"",Grafik!K77)</f>
        <v/>
      </c>
      <c r="R41" s="33" t="str">
        <f>IF(ISERROR(Grafik!L77),"",Grafik!L77)</f>
        <v/>
      </c>
      <c r="S41" s="33" t="str">
        <f>IF(ISERROR(Grafik!M77),"",Grafik!M77)</f>
        <v/>
      </c>
      <c r="T41" s="33" t="str">
        <f>IF(ISERROR(Grafik!N77),"",Grafik!N77)</f>
        <v/>
      </c>
      <c r="U41" s="33" t="str">
        <f>IF(ISERROR(Grafik!O77),"",Grafik!O77)</f>
        <v/>
      </c>
      <c r="V41" s="33" t="str">
        <f>IF(ISERROR(Grafik!P77),"",Grafik!P77)</f>
        <v/>
      </c>
      <c r="W41" s="66"/>
      <c r="X41" s="31"/>
      <c r="Y41" s="31"/>
      <c r="Z41" s="31"/>
    </row>
    <row r="42" spans="1:26" ht="19.5" customHeight="1">
      <c r="A42" s="25"/>
      <c r="B42" s="59"/>
      <c r="C42" s="61" t="str">
        <f>IF(B42="","",DATEDIF(Person!$C$22,B42,"y"))</f>
        <v/>
      </c>
      <c r="D42" s="25"/>
      <c r="E42" s="62"/>
      <c r="F42" s="63"/>
      <c r="G42" s="64" t="str">
        <f>IF(F42="","",IF(E42="","",IF(W42="","",F42*(100%-H42/100))))</f>
        <v/>
      </c>
      <c r="H42" s="64" t="str">
        <f>IF(F42="","",IF(E42="","",IF(W42="","",$O$10*(($K$9*F42^$K$10)*($L$9*E42^$L$10)*(ABS(W42-(($J$8*E42^$J$9)*F42^$J$10+$J$7)))^$M$10)+$P$10)))</f>
        <v/>
      </c>
      <c r="I42" s="29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65" t="str">
        <f>IF(J42="","",SUM(J42:S42))</f>
        <v/>
      </c>
      <c r="X42" s="25"/>
      <c r="Y42" s="25"/>
      <c r="Z42" s="25"/>
    </row>
    <row r="43" spans="1:26" ht="19.5" customHeight="1">
      <c r="A43" s="31"/>
      <c r="B43" s="60"/>
      <c r="C43" s="60"/>
      <c r="D43" s="31"/>
      <c r="E43" s="60"/>
      <c r="F43" s="60"/>
      <c r="G43" s="60"/>
      <c r="H43" s="60"/>
      <c r="I43" s="31"/>
      <c r="J43" s="33" t="str">
        <f>IF(ISERROR(Grafik!D79),"",Grafik!D79)</f>
        <v/>
      </c>
      <c r="K43" s="33" t="str">
        <f>IF(ISERROR(Grafik!E79),"",Grafik!E79)</f>
        <v/>
      </c>
      <c r="L43" s="33" t="str">
        <f>IF(ISERROR(Grafik!F79),"",Grafik!F79)</f>
        <v/>
      </c>
      <c r="M43" s="33" t="str">
        <f>IF(ISERROR(Grafik!G79),"",Grafik!G79)</f>
        <v/>
      </c>
      <c r="N43" s="33" t="str">
        <f>IF(ISERROR(Grafik!H79),"",Grafik!H79)</f>
        <v/>
      </c>
      <c r="O43" s="33" t="str">
        <f>IF(ISERROR(Grafik!I79),"",Grafik!I79)</f>
        <v/>
      </c>
      <c r="P43" s="33" t="str">
        <f>IF(ISERROR(Grafik!J79),"",Grafik!J79)</f>
        <v/>
      </c>
      <c r="Q43" s="33" t="str">
        <f>IF(ISERROR(Grafik!K79),"",Grafik!K79)</f>
        <v/>
      </c>
      <c r="R43" s="33" t="str">
        <f>IF(ISERROR(Grafik!L79),"",Grafik!L79)</f>
        <v/>
      </c>
      <c r="S43" s="33" t="str">
        <f>IF(ISERROR(Grafik!M79),"",Grafik!M79)</f>
        <v/>
      </c>
      <c r="T43" s="33" t="str">
        <f>IF(ISERROR(Grafik!N79),"",Grafik!N79)</f>
        <v/>
      </c>
      <c r="U43" s="33" t="str">
        <f>IF(ISERROR(Grafik!O79),"",Grafik!O79)</f>
        <v/>
      </c>
      <c r="V43" s="33" t="str">
        <f>IF(ISERROR(Grafik!P79),"",Grafik!P79)</f>
        <v/>
      </c>
      <c r="W43" s="66"/>
      <c r="X43" s="31"/>
      <c r="Y43" s="31"/>
      <c r="Z43" s="31"/>
    </row>
    <row r="44" spans="1:26" ht="19.5" customHeight="1">
      <c r="A44" s="25"/>
      <c r="B44" s="59"/>
      <c r="C44" s="61" t="str">
        <f>IF(B44="","",DATEDIF(Person!$C$22,B44,"y"))</f>
        <v/>
      </c>
      <c r="D44" s="25"/>
      <c r="E44" s="62"/>
      <c r="F44" s="63"/>
      <c r="G44" s="64" t="str">
        <f>IF(F44="","",IF(E44="","",IF(W44="","",F44*(100%-H44/100))))</f>
        <v/>
      </c>
      <c r="H44" s="64" t="str">
        <f>IF(F44="","",IF(E44="","",IF(W44="","",$O$10*(($K$9*F44^$K$10)*($L$9*E44^$L$10)*(ABS(W44-(($J$8*E44^$J$9)*F44^$J$10+$J$7)))^$M$10)+$P$10)))</f>
        <v/>
      </c>
      <c r="I44" s="29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65" t="str">
        <f>IF(J44="","",SUM(J44:S44))</f>
        <v/>
      </c>
      <c r="X44" s="25"/>
      <c r="Y44" s="25"/>
      <c r="Z44" s="25"/>
    </row>
    <row r="45" spans="1:26" ht="19.5" customHeight="1">
      <c r="A45" s="31"/>
      <c r="B45" s="60"/>
      <c r="C45" s="60"/>
      <c r="D45" s="31"/>
      <c r="E45" s="60"/>
      <c r="F45" s="60"/>
      <c r="G45" s="60"/>
      <c r="H45" s="60"/>
      <c r="I45" s="31"/>
      <c r="J45" s="33" t="str">
        <f>IF(ISERROR(Grafik!D81),"",Grafik!D81)</f>
        <v/>
      </c>
      <c r="K45" s="33" t="str">
        <f>IF(ISERROR(Grafik!E81),"",Grafik!E81)</f>
        <v/>
      </c>
      <c r="L45" s="33" t="str">
        <f>IF(ISERROR(Grafik!F81),"",Grafik!F81)</f>
        <v/>
      </c>
      <c r="M45" s="33" t="str">
        <f>IF(ISERROR(Grafik!G81),"",Grafik!G81)</f>
        <v/>
      </c>
      <c r="N45" s="33" t="str">
        <f>IF(ISERROR(Grafik!H81),"",Grafik!H81)</f>
        <v/>
      </c>
      <c r="O45" s="33" t="str">
        <f>IF(ISERROR(Grafik!I81),"",Grafik!I81)</f>
        <v/>
      </c>
      <c r="P45" s="33" t="str">
        <f>IF(ISERROR(Grafik!J81),"",Grafik!J81)</f>
        <v/>
      </c>
      <c r="Q45" s="33" t="str">
        <f>IF(ISERROR(Grafik!K81),"",Grafik!K81)</f>
        <v/>
      </c>
      <c r="R45" s="33" t="str">
        <f>IF(ISERROR(Grafik!L81),"",Grafik!L81)</f>
        <v/>
      </c>
      <c r="S45" s="33" t="str">
        <f>IF(ISERROR(Grafik!M81),"",Grafik!M81)</f>
        <v/>
      </c>
      <c r="T45" s="33" t="str">
        <f>IF(ISERROR(Grafik!N81),"",Grafik!N81)</f>
        <v/>
      </c>
      <c r="U45" s="33" t="str">
        <f>IF(ISERROR(Grafik!O81),"",Grafik!O81)</f>
        <v/>
      </c>
      <c r="V45" s="33" t="str">
        <f>IF(ISERROR(Grafik!P81),"",Grafik!P81)</f>
        <v/>
      </c>
      <c r="W45" s="66"/>
      <c r="X45" s="31"/>
      <c r="Y45" s="31"/>
      <c r="Z45" s="31"/>
    </row>
    <row r="46" spans="1:26" ht="19.5" customHeight="1">
      <c r="A46" s="25"/>
      <c r="B46" s="59"/>
      <c r="C46" s="61" t="str">
        <f>IF(B46="","",DATEDIF(Person!$C$22,B46,"y"))</f>
        <v/>
      </c>
      <c r="D46" s="25"/>
      <c r="E46" s="62"/>
      <c r="F46" s="63"/>
      <c r="G46" s="64" t="str">
        <f>IF(F46="","",IF(E46="","",IF(W46="","",F46*(100%-H46/100))))</f>
        <v/>
      </c>
      <c r="H46" s="64" t="str">
        <f>IF(F46="","",IF(E46="","",IF(W46="","",$O$10*(($K$9*F46^$K$10)*($L$9*E46^$L$10)*(ABS(W46-(($J$8*E46^$J$9)*F46^$J$10+$J$7)))^$M$10)+$P$10)))</f>
        <v/>
      </c>
      <c r="I46" s="29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65" t="str">
        <f>IF(J46="","",SUM(J46:S46))</f>
        <v/>
      </c>
      <c r="X46" s="25"/>
      <c r="Y46" s="25"/>
      <c r="Z46" s="25"/>
    </row>
    <row r="47" spans="1:26" ht="19.5" customHeight="1">
      <c r="A47" s="31"/>
      <c r="B47" s="60"/>
      <c r="C47" s="60"/>
      <c r="D47" s="31"/>
      <c r="E47" s="60"/>
      <c r="F47" s="60"/>
      <c r="G47" s="60"/>
      <c r="H47" s="60"/>
      <c r="I47" s="31"/>
      <c r="J47" s="33" t="str">
        <f>IF(ISERROR(Grafik!D83),"",Grafik!D83)</f>
        <v/>
      </c>
      <c r="K47" s="33" t="str">
        <f>IF(ISERROR(Grafik!E83),"",Grafik!E83)</f>
        <v/>
      </c>
      <c r="L47" s="33" t="str">
        <f>IF(ISERROR(Grafik!F83),"",Grafik!F83)</f>
        <v/>
      </c>
      <c r="M47" s="33" t="str">
        <f>IF(ISERROR(Grafik!G83),"",Grafik!G83)</f>
        <v/>
      </c>
      <c r="N47" s="33" t="str">
        <f>IF(ISERROR(Grafik!H83),"",Grafik!H83)</f>
        <v/>
      </c>
      <c r="O47" s="33" t="str">
        <f>IF(ISERROR(Grafik!I83),"",Grafik!I83)</f>
        <v/>
      </c>
      <c r="P47" s="33" t="str">
        <f>IF(ISERROR(Grafik!J83),"",Grafik!J83)</f>
        <v/>
      </c>
      <c r="Q47" s="33" t="str">
        <f>IF(ISERROR(Grafik!K83),"",Grafik!K83)</f>
        <v/>
      </c>
      <c r="R47" s="33" t="str">
        <f>IF(ISERROR(Grafik!L83),"",Grafik!L83)</f>
        <v/>
      </c>
      <c r="S47" s="33" t="str">
        <f>IF(ISERROR(Grafik!M83),"",Grafik!M83)</f>
        <v/>
      </c>
      <c r="T47" s="33" t="str">
        <f>IF(ISERROR(Grafik!N83),"",Grafik!N83)</f>
        <v/>
      </c>
      <c r="U47" s="33" t="str">
        <f>IF(ISERROR(Grafik!O83),"",Grafik!O83)</f>
        <v/>
      </c>
      <c r="V47" s="33" t="str">
        <f>IF(ISERROR(Grafik!P83),"",Grafik!P83)</f>
        <v/>
      </c>
      <c r="W47" s="66"/>
      <c r="X47" s="31"/>
      <c r="Y47" s="31"/>
      <c r="Z47" s="31"/>
    </row>
    <row r="48" spans="1:26" ht="19.5" customHeight="1">
      <c r="A48" s="25"/>
      <c r="B48" s="59"/>
      <c r="C48" s="61" t="str">
        <f>IF(B48="","",DATEDIF(Person!$C$22,B48,"y"))</f>
        <v/>
      </c>
      <c r="D48" s="25"/>
      <c r="E48" s="62"/>
      <c r="F48" s="63"/>
      <c r="G48" s="64" t="str">
        <f>IF(F48="","",IF(E48="","",IF(W48="","",F48*(100%-H48/100))))</f>
        <v/>
      </c>
      <c r="H48" s="64" t="str">
        <f>IF(F48="","",IF(E48="","",IF(W48="","",$O$10*(($K$9*F48^$K$10)*($L$9*E48^$L$10)*(ABS(W48-(($J$8*E48^$J$9)*F48^$J$10+$J$7)))^$M$10)+$P$10)))</f>
        <v/>
      </c>
      <c r="I48" s="29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65" t="str">
        <f>IF(J48="","",SUM(J48:S48))</f>
        <v/>
      </c>
      <c r="X48" s="25"/>
      <c r="Y48" s="25"/>
      <c r="Z48" s="25"/>
    </row>
    <row r="49" spans="1:26" ht="19.5" customHeight="1">
      <c r="A49" s="31"/>
      <c r="B49" s="60"/>
      <c r="C49" s="60"/>
      <c r="D49" s="31"/>
      <c r="E49" s="60"/>
      <c r="F49" s="60"/>
      <c r="G49" s="60"/>
      <c r="H49" s="60"/>
      <c r="I49" s="31"/>
      <c r="J49" s="33" t="str">
        <f>IF(ISERROR(Grafik!D85),"",Grafik!D85)</f>
        <v/>
      </c>
      <c r="K49" s="33" t="str">
        <f>IF(ISERROR(Grafik!E85),"",Grafik!E85)</f>
        <v/>
      </c>
      <c r="L49" s="33" t="str">
        <f>IF(ISERROR(Grafik!F85),"",Grafik!F85)</f>
        <v/>
      </c>
      <c r="M49" s="33" t="str">
        <f>IF(ISERROR(Grafik!G85),"",Grafik!G85)</f>
        <v/>
      </c>
      <c r="N49" s="33" t="str">
        <f>IF(ISERROR(Grafik!H85),"",Grafik!H85)</f>
        <v/>
      </c>
      <c r="O49" s="33" t="str">
        <f>IF(ISERROR(Grafik!I85),"",Grafik!I85)</f>
        <v/>
      </c>
      <c r="P49" s="33" t="str">
        <f>IF(ISERROR(Grafik!J85),"",Grafik!J85)</f>
        <v/>
      </c>
      <c r="Q49" s="33" t="str">
        <f>IF(ISERROR(Grafik!K85),"",Grafik!K85)</f>
        <v/>
      </c>
      <c r="R49" s="33" t="str">
        <f>IF(ISERROR(Grafik!L85),"",Grafik!L85)</f>
        <v/>
      </c>
      <c r="S49" s="33" t="str">
        <f>IF(ISERROR(Grafik!M85),"",Grafik!M85)</f>
        <v/>
      </c>
      <c r="T49" s="33" t="str">
        <f>IF(ISERROR(Grafik!N85),"",Grafik!N85)</f>
        <v/>
      </c>
      <c r="U49" s="33" t="str">
        <f>IF(ISERROR(Grafik!O85),"",Grafik!O85)</f>
        <v/>
      </c>
      <c r="V49" s="33" t="str">
        <f>IF(ISERROR(Grafik!P85),"",Grafik!P85)</f>
        <v/>
      </c>
      <c r="W49" s="66"/>
      <c r="X49" s="31"/>
      <c r="Y49" s="31"/>
      <c r="Z49" s="31"/>
    </row>
    <row r="50" spans="1:26" ht="19.5" customHeight="1">
      <c r="A50" s="25"/>
      <c r="B50" s="59"/>
      <c r="C50" s="61" t="str">
        <f>IF(B50="","",DATEDIF(Person!$C$22,B50,"y"))</f>
        <v/>
      </c>
      <c r="D50" s="25"/>
      <c r="E50" s="62"/>
      <c r="F50" s="63"/>
      <c r="G50" s="64" t="str">
        <f>IF(F50="","",IF(E50="","",IF(W50="","",F50*(100%-H50/100))))</f>
        <v/>
      </c>
      <c r="H50" s="64" t="str">
        <f>IF(F50="","",IF(E50="","",IF(W50="","",$O$10*(($K$9*F50^$K$10)*($L$9*E50^$L$10)*(ABS(W50-(($J$8*E50^$J$9)*F50^$J$10+$J$7)))^$M$10)+$P$10)))</f>
        <v/>
      </c>
      <c r="I50" s="29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65" t="str">
        <f>IF(J50="","",SUM(J50:S50))</f>
        <v/>
      </c>
      <c r="X50" s="25"/>
      <c r="Y50" s="25"/>
      <c r="Z50" s="25"/>
    </row>
    <row r="51" spans="1:26" ht="19.5" customHeight="1">
      <c r="A51" s="31"/>
      <c r="B51" s="60"/>
      <c r="C51" s="60"/>
      <c r="D51" s="31"/>
      <c r="E51" s="60"/>
      <c r="F51" s="60"/>
      <c r="G51" s="60"/>
      <c r="H51" s="60"/>
      <c r="I51" s="31"/>
      <c r="J51" s="33" t="str">
        <f>IF(ISERROR(Grafik!D87),"",Grafik!D87)</f>
        <v/>
      </c>
      <c r="K51" s="33" t="str">
        <f>IF(ISERROR(Grafik!E87),"",Grafik!E87)</f>
        <v/>
      </c>
      <c r="L51" s="33" t="str">
        <f>IF(ISERROR(Grafik!F87),"",Grafik!F87)</f>
        <v/>
      </c>
      <c r="M51" s="33" t="str">
        <f>IF(ISERROR(Grafik!G87),"",Grafik!G87)</f>
        <v/>
      </c>
      <c r="N51" s="33" t="str">
        <f>IF(ISERROR(Grafik!H87),"",Grafik!H87)</f>
        <v/>
      </c>
      <c r="O51" s="33" t="str">
        <f>IF(ISERROR(Grafik!I87),"",Grafik!I87)</f>
        <v/>
      </c>
      <c r="P51" s="33" t="str">
        <f>IF(ISERROR(Grafik!J87),"",Grafik!J87)</f>
        <v/>
      </c>
      <c r="Q51" s="33" t="str">
        <f>IF(ISERROR(Grafik!K87),"",Grafik!K87)</f>
        <v/>
      </c>
      <c r="R51" s="33" t="str">
        <f>IF(ISERROR(Grafik!L87),"",Grafik!L87)</f>
        <v/>
      </c>
      <c r="S51" s="33" t="str">
        <f>IF(ISERROR(Grafik!M87),"",Grafik!M87)</f>
        <v/>
      </c>
      <c r="T51" s="33" t="str">
        <f>IF(ISERROR(Grafik!N87),"",Grafik!N87)</f>
        <v/>
      </c>
      <c r="U51" s="33" t="str">
        <f>IF(ISERROR(Grafik!O87),"",Grafik!O87)</f>
        <v/>
      </c>
      <c r="V51" s="33" t="str">
        <f>IF(ISERROR(Grafik!P87),"",Grafik!P87)</f>
        <v/>
      </c>
      <c r="W51" s="66"/>
      <c r="X51" s="31"/>
      <c r="Y51" s="31"/>
      <c r="Z51" s="31"/>
    </row>
    <row r="52" spans="1:26" ht="19.5" customHeight="1">
      <c r="A52" s="25"/>
      <c r="B52" s="59"/>
      <c r="C52" s="61" t="str">
        <f>IF(B52="","",DATEDIF(Person!$C$22,B52,"y"))</f>
        <v/>
      </c>
      <c r="D52" s="25"/>
      <c r="E52" s="62"/>
      <c r="F52" s="63"/>
      <c r="G52" s="64" t="str">
        <f>IF(F52="","",IF(E52="","",IF(W52="","",F52*(100%-H52/100))))</f>
        <v/>
      </c>
      <c r="H52" s="64" t="str">
        <f>IF(F52="","",IF(E52="","",IF(W52="","",$O$10*(($K$9*F52^$K$10)*($L$9*E52^$L$10)*(ABS(W52-(($J$8*E52^$J$9)*F52^$J$10+$J$7)))^$M$10)+$P$10)))</f>
        <v/>
      </c>
      <c r="I52" s="29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65" t="str">
        <f>IF(J52="","",SUM(J52:S52))</f>
        <v/>
      </c>
      <c r="X52" s="25"/>
      <c r="Y52" s="25"/>
      <c r="Z52" s="25"/>
    </row>
    <row r="53" spans="1:26" ht="19.5" customHeight="1">
      <c r="A53" s="31"/>
      <c r="B53" s="60"/>
      <c r="C53" s="60"/>
      <c r="D53" s="31"/>
      <c r="E53" s="60"/>
      <c r="F53" s="60"/>
      <c r="G53" s="60"/>
      <c r="H53" s="60"/>
      <c r="I53" s="31"/>
      <c r="J53" s="33" t="str">
        <f>IF(ISERROR(Grafik!D89),"",Grafik!D89)</f>
        <v/>
      </c>
      <c r="K53" s="33" t="str">
        <f>IF(ISERROR(Grafik!E89),"",Grafik!E89)</f>
        <v/>
      </c>
      <c r="L53" s="33" t="str">
        <f>IF(ISERROR(Grafik!F89),"",Grafik!F89)</f>
        <v/>
      </c>
      <c r="M53" s="33" t="str">
        <f>IF(ISERROR(Grafik!G89),"",Grafik!G89)</f>
        <v/>
      </c>
      <c r="N53" s="33" t="str">
        <f>IF(ISERROR(Grafik!H89),"",Grafik!H89)</f>
        <v/>
      </c>
      <c r="O53" s="33" t="str">
        <f>IF(ISERROR(Grafik!I89),"",Grafik!I89)</f>
        <v/>
      </c>
      <c r="P53" s="33" t="str">
        <f>IF(ISERROR(Grafik!J89),"",Grafik!J89)</f>
        <v/>
      </c>
      <c r="Q53" s="33" t="str">
        <f>IF(ISERROR(Grafik!K89),"",Grafik!K89)</f>
        <v/>
      </c>
      <c r="R53" s="33" t="str">
        <f>IF(ISERROR(Grafik!L89),"",Grafik!L89)</f>
        <v/>
      </c>
      <c r="S53" s="33" t="str">
        <f>IF(ISERROR(Grafik!M89),"",Grafik!M89)</f>
        <v/>
      </c>
      <c r="T53" s="33" t="str">
        <f>IF(ISERROR(Grafik!N89),"",Grafik!N89)</f>
        <v/>
      </c>
      <c r="U53" s="33" t="str">
        <f>IF(ISERROR(Grafik!O89),"",Grafik!O89)</f>
        <v/>
      </c>
      <c r="V53" s="33" t="str">
        <f>IF(ISERROR(Grafik!P89),"",Grafik!P89)</f>
        <v/>
      </c>
      <c r="W53" s="66"/>
      <c r="X53" s="31"/>
      <c r="Y53" s="31"/>
      <c r="Z53" s="31"/>
    </row>
    <row r="54" spans="1:26" ht="19.5" customHeight="1">
      <c r="A54" s="25"/>
      <c r="B54" s="59"/>
      <c r="C54" s="61" t="str">
        <f>IF(B54="","",DATEDIF(Person!$C$22,B54,"y"))</f>
        <v/>
      </c>
      <c r="D54" s="25"/>
      <c r="E54" s="62"/>
      <c r="F54" s="63"/>
      <c r="G54" s="64" t="str">
        <f>IF(F54="","",IF(E54="","",IF(W54="","",F54*(100%-H54/100))))</f>
        <v/>
      </c>
      <c r="H54" s="64" t="str">
        <f>IF(F54="","",IF(E54="","",IF(W54="","",$O$10*(($K$9*F54^$K$10)*($L$9*E54^$L$10)*(ABS(W54-(($J$8*E54^$J$9)*F54^$J$10+$J$7)))^$M$10)+$P$10)))</f>
        <v/>
      </c>
      <c r="I54" s="29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65" t="str">
        <f>IF(J54="","",SUM(J54:S54))</f>
        <v/>
      </c>
      <c r="X54" s="25"/>
      <c r="Y54" s="25"/>
      <c r="Z54" s="25"/>
    </row>
    <row r="55" spans="1:26" ht="19.5" customHeight="1">
      <c r="A55" s="31"/>
      <c r="B55" s="60"/>
      <c r="C55" s="60"/>
      <c r="D55" s="31"/>
      <c r="E55" s="60"/>
      <c r="F55" s="60"/>
      <c r="G55" s="60"/>
      <c r="H55" s="60"/>
      <c r="I55" s="31"/>
      <c r="J55" s="33" t="str">
        <f>IF(ISERROR(Grafik!D91),"",Grafik!D91)</f>
        <v/>
      </c>
      <c r="K55" s="33" t="str">
        <f>IF(ISERROR(Grafik!E91),"",Grafik!E91)</f>
        <v/>
      </c>
      <c r="L55" s="33" t="str">
        <f>IF(ISERROR(Grafik!F91),"",Grafik!F91)</f>
        <v/>
      </c>
      <c r="M55" s="33" t="str">
        <f>IF(ISERROR(Grafik!G91),"",Grafik!G91)</f>
        <v/>
      </c>
      <c r="N55" s="33" t="str">
        <f>IF(ISERROR(Grafik!H91),"",Grafik!H91)</f>
        <v/>
      </c>
      <c r="O55" s="33" t="str">
        <f>IF(ISERROR(Grafik!I91),"",Grafik!I91)</f>
        <v/>
      </c>
      <c r="P55" s="33" t="str">
        <f>IF(ISERROR(Grafik!J91),"",Grafik!J91)</f>
        <v/>
      </c>
      <c r="Q55" s="33" t="str">
        <f>IF(ISERROR(Grafik!K91),"",Grafik!K91)</f>
        <v/>
      </c>
      <c r="R55" s="33" t="str">
        <f>IF(ISERROR(Grafik!L91),"",Grafik!L91)</f>
        <v/>
      </c>
      <c r="S55" s="33" t="str">
        <f>IF(ISERROR(Grafik!M91),"",Grafik!M91)</f>
        <v/>
      </c>
      <c r="T55" s="33" t="str">
        <f>IF(ISERROR(Grafik!N91),"",Grafik!N91)</f>
        <v/>
      </c>
      <c r="U55" s="33" t="str">
        <f>IF(ISERROR(Grafik!O91),"",Grafik!O91)</f>
        <v/>
      </c>
      <c r="V55" s="33" t="str">
        <f>IF(ISERROR(Grafik!P91),"",Grafik!P91)</f>
        <v/>
      </c>
      <c r="W55" s="66"/>
      <c r="X55" s="31"/>
      <c r="Y55" s="31"/>
      <c r="Z55" s="31"/>
    </row>
    <row r="56" spans="1:26" ht="19.5" customHeight="1">
      <c r="A56" s="25"/>
      <c r="B56" s="59"/>
      <c r="C56" s="61" t="str">
        <f>IF(B56="","",DATEDIF(Person!$C$22,B56,"y"))</f>
        <v/>
      </c>
      <c r="D56" s="25"/>
      <c r="E56" s="62"/>
      <c r="F56" s="63"/>
      <c r="G56" s="64" t="str">
        <f>IF(F56="","",IF(E56="","",IF(W56="","",F56*(100%-H56/100))))</f>
        <v/>
      </c>
      <c r="H56" s="64" t="str">
        <f>IF(F56="","",IF(E56="","",IF(W56="","",$O$10*(($K$9*F56^$K$10)*($L$9*E56^$L$10)*(ABS(W56-(($J$8*E56^$J$9)*F56^$J$10+$J$7)))^$M$10)+$P$10)))</f>
        <v/>
      </c>
      <c r="I56" s="29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65" t="str">
        <f>IF(J56="","",SUM(J56:S56))</f>
        <v/>
      </c>
      <c r="X56" s="25"/>
      <c r="Y56" s="25"/>
      <c r="Z56" s="25"/>
    </row>
    <row r="57" spans="1:26" ht="19.5" customHeight="1">
      <c r="A57" s="31"/>
      <c r="B57" s="60"/>
      <c r="C57" s="60"/>
      <c r="D57" s="31"/>
      <c r="E57" s="60"/>
      <c r="F57" s="60"/>
      <c r="G57" s="60"/>
      <c r="H57" s="60"/>
      <c r="I57" s="31"/>
      <c r="J57" s="33" t="str">
        <f>IF(ISERROR(Grafik!D93),"",Grafik!D93)</f>
        <v/>
      </c>
      <c r="K57" s="33" t="str">
        <f>IF(ISERROR(Grafik!E93),"",Grafik!E93)</f>
        <v/>
      </c>
      <c r="L57" s="33" t="str">
        <f>IF(ISERROR(Grafik!F93),"",Grafik!F93)</f>
        <v/>
      </c>
      <c r="M57" s="33" t="str">
        <f>IF(ISERROR(Grafik!G93),"",Grafik!G93)</f>
        <v/>
      </c>
      <c r="N57" s="33" t="str">
        <f>IF(ISERROR(Grafik!H93),"",Grafik!H93)</f>
        <v/>
      </c>
      <c r="O57" s="33" t="str">
        <f>IF(ISERROR(Grafik!I93),"",Grafik!I93)</f>
        <v/>
      </c>
      <c r="P57" s="33" t="str">
        <f>IF(ISERROR(Grafik!J93),"",Grafik!J93)</f>
        <v/>
      </c>
      <c r="Q57" s="33" t="str">
        <f>IF(ISERROR(Grafik!K93),"",Grafik!K93)</f>
        <v/>
      </c>
      <c r="R57" s="33" t="str">
        <f>IF(ISERROR(Grafik!L93),"",Grafik!L93)</f>
        <v/>
      </c>
      <c r="S57" s="33" t="str">
        <f>IF(ISERROR(Grafik!M93),"",Grafik!M93)</f>
        <v/>
      </c>
      <c r="T57" s="33" t="str">
        <f>IF(ISERROR(Grafik!N93),"",Grafik!N93)</f>
        <v/>
      </c>
      <c r="U57" s="33" t="str">
        <f>IF(ISERROR(Grafik!O93),"",Grafik!O93)</f>
        <v/>
      </c>
      <c r="V57" s="33" t="str">
        <f>IF(ISERROR(Grafik!P93),"",Grafik!P93)</f>
        <v/>
      </c>
      <c r="W57" s="66"/>
      <c r="X57" s="31"/>
      <c r="Y57" s="31"/>
      <c r="Z57" s="31"/>
    </row>
    <row r="58" spans="1:26" ht="19.5" customHeight="1">
      <c r="A58" s="25"/>
      <c r="B58" s="59"/>
      <c r="C58" s="61" t="str">
        <f>IF(B58="","",DATEDIF(Person!$C$22,B58,"y"))</f>
        <v/>
      </c>
      <c r="D58" s="25"/>
      <c r="E58" s="62"/>
      <c r="F58" s="63"/>
      <c r="G58" s="64" t="str">
        <f>IF(F58="","",IF(E58="","",IF(W58="","",F58*(100%-H58/100))))</f>
        <v/>
      </c>
      <c r="H58" s="64" t="str">
        <f>IF(F58="","",IF(E58="","",IF(W58="","",$O$10*(($K$9*F58^$K$10)*($L$9*E58^$L$10)*(ABS(W58-(($J$8*E58^$J$9)*F58^$J$10+$J$7)))^$M$10)+$P$10)))</f>
        <v/>
      </c>
      <c r="I58" s="29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65" t="str">
        <f>IF(J58="","",SUM(J58:S58))</f>
        <v/>
      </c>
      <c r="X58" s="25"/>
      <c r="Y58" s="25"/>
      <c r="Z58" s="25"/>
    </row>
    <row r="59" spans="1:26" ht="19.5" customHeight="1">
      <c r="A59" s="31"/>
      <c r="B59" s="60"/>
      <c r="C59" s="60"/>
      <c r="D59" s="31"/>
      <c r="E59" s="60"/>
      <c r="F59" s="60"/>
      <c r="G59" s="60"/>
      <c r="H59" s="60"/>
      <c r="I59" s="31"/>
      <c r="J59" s="33" t="str">
        <f>IF(ISERROR(Grafik!D95),"",Grafik!D95)</f>
        <v/>
      </c>
      <c r="K59" s="33" t="str">
        <f>IF(ISERROR(Grafik!E95),"",Grafik!E95)</f>
        <v/>
      </c>
      <c r="L59" s="33" t="str">
        <f>IF(ISERROR(Grafik!F95),"",Grafik!F95)</f>
        <v/>
      </c>
      <c r="M59" s="33" t="str">
        <f>IF(ISERROR(Grafik!G95),"",Grafik!G95)</f>
        <v/>
      </c>
      <c r="N59" s="33" t="str">
        <f>IF(ISERROR(Grafik!H95),"",Grafik!H95)</f>
        <v/>
      </c>
      <c r="O59" s="33" t="str">
        <f>IF(ISERROR(Grafik!I95),"",Grafik!I95)</f>
        <v/>
      </c>
      <c r="P59" s="33" t="str">
        <f>IF(ISERROR(Grafik!J95),"",Grafik!J95)</f>
        <v/>
      </c>
      <c r="Q59" s="33" t="str">
        <f>IF(ISERROR(Grafik!K95),"",Grafik!K95)</f>
        <v/>
      </c>
      <c r="R59" s="33" t="str">
        <f>IF(ISERROR(Grafik!L95),"",Grafik!L95)</f>
        <v/>
      </c>
      <c r="S59" s="33" t="str">
        <f>IF(ISERROR(Grafik!M95),"",Grafik!M95)</f>
        <v/>
      </c>
      <c r="T59" s="33" t="str">
        <f>IF(ISERROR(Grafik!N95),"",Grafik!N95)</f>
        <v/>
      </c>
      <c r="U59" s="33" t="str">
        <f>IF(ISERROR(Grafik!O95),"",Grafik!O95)</f>
        <v/>
      </c>
      <c r="V59" s="33" t="str">
        <f>IF(ISERROR(Grafik!P95),"",Grafik!P95)</f>
        <v/>
      </c>
      <c r="W59" s="66"/>
      <c r="X59" s="31"/>
      <c r="Y59" s="31"/>
      <c r="Z59" s="31"/>
    </row>
    <row r="60" spans="1:26" ht="19.5" customHeight="1">
      <c r="A60" s="25"/>
      <c r="B60" s="59"/>
      <c r="C60" s="61" t="str">
        <f>IF(B60="","",DATEDIF(Person!$C$22,B60,"y"))</f>
        <v/>
      </c>
      <c r="D60" s="25"/>
      <c r="E60" s="62"/>
      <c r="F60" s="63"/>
      <c r="G60" s="64" t="str">
        <f>IF(F60="","",IF(E60="","",IF(W60="","",F60*(100%-H60/100))))</f>
        <v/>
      </c>
      <c r="H60" s="64" t="str">
        <f>IF(F60="","",IF(E60="","",IF(W60="","",$O$10*(($K$9*F60^$K$10)*($L$9*E60^$L$10)*(ABS(W60-(($J$8*E60^$J$9)*F60^$J$10+$J$7)))^$M$10)+$P$10)))</f>
        <v/>
      </c>
      <c r="I60" s="29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65" t="str">
        <f>IF(J60="","",SUM(J60:S60))</f>
        <v/>
      </c>
      <c r="X60" s="25"/>
      <c r="Y60" s="25"/>
      <c r="Z60" s="25"/>
    </row>
    <row r="61" spans="1:26" ht="19.5" customHeight="1">
      <c r="A61" s="31"/>
      <c r="B61" s="60"/>
      <c r="C61" s="60"/>
      <c r="D61" s="31"/>
      <c r="E61" s="60"/>
      <c r="F61" s="60"/>
      <c r="G61" s="60"/>
      <c r="H61" s="60"/>
      <c r="I61" s="31"/>
      <c r="J61" s="33" t="str">
        <f>IF(ISERROR(Grafik!D97),"",Grafik!D97)</f>
        <v/>
      </c>
      <c r="K61" s="33" t="str">
        <f>IF(ISERROR(Grafik!E97),"",Grafik!E97)</f>
        <v/>
      </c>
      <c r="L61" s="33" t="str">
        <f>IF(ISERROR(Grafik!F97),"",Grafik!F97)</f>
        <v/>
      </c>
      <c r="M61" s="33" t="str">
        <f>IF(ISERROR(Grafik!G97),"",Grafik!G97)</f>
        <v/>
      </c>
      <c r="N61" s="33" t="str">
        <f>IF(ISERROR(Grafik!H97),"",Grafik!H97)</f>
        <v/>
      </c>
      <c r="O61" s="33" t="str">
        <f>IF(ISERROR(Grafik!I97),"",Grafik!I97)</f>
        <v/>
      </c>
      <c r="P61" s="33" t="str">
        <f>IF(ISERROR(Grafik!J97),"",Grafik!J97)</f>
        <v/>
      </c>
      <c r="Q61" s="33" t="str">
        <f>IF(ISERROR(Grafik!K97),"",Grafik!K97)</f>
        <v/>
      </c>
      <c r="R61" s="33" t="str">
        <f>IF(ISERROR(Grafik!L97),"",Grafik!L97)</f>
        <v/>
      </c>
      <c r="S61" s="33" t="str">
        <f>IF(ISERROR(Grafik!M97),"",Grafik!M97)</f>
        <v/>
      </c>
      <c r="T61" s="33" t="str">
        <f>IF(ISERROR(Grafik!N97),"",Grafik!N97)</f>
        <v/>
      </c>
      <c r="U61" s="33" t="str">
        <f>IF(ISERROR(Grafik!O97),"",Grafik!O97)</f>
        <v/>
      </c>
      <c r="V61" s="33" t="str">
        <f>IF(ISERROR(Grafik!P97),"",Grafik!P97)</f>
        <v/>
      </c>
      <c r="W61" s="66"/>
      <c r="X61" s="31"/>
      <c r="Y61" s="31"/>
      <c r="Z61" s="31"/>
    </row>
    <row r="62" spans="1:26" ht="19.5" customHeight="1">
      <c r="A62" s="25"/>
      <c r="B62" s="59"/>
      <c r="C62" s="61" t="str">
        <f>IF(B62="","",DATEDIF(Person!$C$22,B62,"y"))</f>
        <v/>
      </c>
      <c r="D62" s="25"/>
      <c r="E62" s="62"/>
      <c r="F62" s="63"/>
      <c r="G62" s="64" t="str">
        <f>IF(F62="","",IF(E62="","",IF(W62="","",F62*(100%-H62/100))))</f>
        <v/>
      </c>
      <c r="H62" s="64" t="str">
        <f>IF(F62="","",IF(E62="","",IF(W62="","",$O$10*(($K$9*F62^$K$10)*($L$9*E62^$L$10)*(ABS(W62-(($J$8*E62^$J$9)*F62^$J$10+$J$7)))^$M$10)+$P$10)))</f>
        <v/>
      </c>
      <c r="I62" s="29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65" t="str">
        <f>IF(J62="","",SUM(J62:S62))</f>
        <v/>
      </c>
      <c r="X62" s="25"/>
      <c r="Y62" s="25"/>
      <c r="Z62" s="25"/>
    </row>
    <row r="63" spans="1:26" ht="19.5" customHeight="1">
      <c r="A63" s="31"/>
      <c r="B63" s="60"/>
      <c r="C63" s="60"/>
      <c r="D63" s="31"/>
      <c r="E63" s="60"/>
      <c r="F63" s="60"/>
      <c r="G63" s="60"/>
      <c r="H63" s="60"/>
      <c r="I63" s="31"/>
      <c r="J63" s="33" t="str">
        <f>IF(ISERROR(Grafik!D99),"",Grafik!D99)</f>
        <v/>
      </c>
      <c r="K63" s="33" t="str">
        <f>IF(ISERROR(Grafik!E99),"",Grafik!E99)</f>
        <v/>
      </c>
      <c r="L63" s="33" t="str">
        <f>IF(ISERROR(Grafik!F99),"",Grafik!F99)</f>
        <v/>
      </c>
      <c r="M63" s="33" t="str">
        <f>IF(ISERROR(Grafik!G99),"",Grafik!G99)</f>
        <v/>
      </c>
      <c r="N63" s="33" t="str">
        <f>IF(ISERROR(Grafik!H99),"",Grafik!H99)</f>
        <v/>
      </c>
      <c r="O63" s="33" t="str">
        <f>IF(ISERROR(Grafik!I99),"",Grafik!I99)</f>
        <v/>
      </c>
      <c r="P63" s="33" t="str">
        <f>IF(ISERROR(Grafik!J99),"",Grafik!J99)</f>
        <v/>
      </c>
      <c r="Q63" s="33" t="str">
        <f>IF(ISERROR(Grafik!K99),"",Grafik!K99)</f>
        <v/>
      </c>
      <c r="R63" s="33" t="str">
        <f>IF(ISERROR(Grafik!L99),"",Grafik!L99)</f>
        <v/>
      </c>
      <c r="S63" s="33" t="str">
        <f>IF(ISERROR(Grafik!M99),"",Grafik!M99)</f>
        <v/>
      </c>
      <c r="T63" s="33" t="str">
        <f>IF(ISERROR(Grafik!N99),"",Grafik!N99)</f>
        <v/>
      </c>
      <c r="U63" s="33" t="str">
        <f>IF(ISERROR(Grafik!O99),"",Grafik!O99)</f>
        <v/>
      </c>
      <c r="V63" s="33" t="str">
        <f>IF(ISERROR(Grafik!P99),"",Grafik!P99)</f>
        <v/>
      </c>
      <c r="W63" s="66"/>
      <c r="X63" s="31"/>
      <c r="Y63" s="31"/>
      <c r="Z63" s="31"/>
    </row>
    <row r="64" spans="1:26" ht="19.5" customHeight="1">
      <c r="A64" s="25"/>
      <c r="B64" s="59"/>
      <c r="C64" s="61" t="str">
        <f>IF(B64="","",DATEDIF(Person!$C$22,B64,"y"))</f>
        <v/>
      </c>
      <c r="D64" s="25"/>
      <c r="E64" s="62"/>
      <c r="F64" s="63"/>
      <c r="G64" s="64" t="str">
        <f>IF(F64="","",IF(E64="","",IF(W64="","",F64*(100%-H64/100))))</f>
        <v/>
      </c>
      <c r="H64" s="64" t="str">
        <f>IF(F64="","",IF(E64="","",IF(W64="","",$O$10*(($K$9*F64^$K$10)*($L$9*E64^$L$10)*(ABS(W64-(($J$8*E64^$J$9)*F64^$J$10+$J$7)))^$M$10)+$P$10)))</f>
        <v/>
      </c>
      <c r="I64" s="29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65" t="str">
        <f>IF(J64="","",SUM(J64:S64))</f>
        <v/>
      </c>
      <c r="X64" s="25"/>
      <c r="Y64" s="25"/>
      <c r="Z64" s="25"/>
    </row>
    <row r="65" spans="1:26" ht="19.5" customHeight="1">
      <c r="A65" s="31"/>
      <c r="B65" s="60"/>
      <c r="C65" s="60"/>
      <c r="D65" s="31"/>
      <c r="E65" s="60"/>
      <c r="F65" s="60"/>
      <c r="G65" s="60"/>
      <c r="H65" s="60"/>
      <c r="I65" s="31"/>
      <c r="J65" s="33" t="str">
        <f>IF(ISERROR(Grafik!D101),"",Grafik!D101)</f>
        <v/>
      </c>
      <c r="K65" s="33" t="str">
        <f>IF(ISERROR(Grafik!E101),"",Grafik!E101)</f>
        <v/>
      </c>
      <c r="L65" s="33" t="str">
        <f>IF(ISERROR(Grafik!F101),"",Grafik!F101)</f>
        <v/>
      </c>
      <c r="M65" s="33" t="str">
        <f>IF(ISERROR(Grafik!G101),"",Grafik!G101)</f>
        <v/>
      </c>
      <c r="N65" s="33" t="str">
        <f>IF(ISERROR(Grafik!H101),"",Grafik!H101)</f>
        <v/>
      </c>
      <c r="O65" s="33" t="str">
        <f>IF(ISERROR(Grafik!I101),"",Grafik!I101)</f>
        <v/>
      </c>
      <c r="P65" s="33" t="str">
        <f>IF(ISERROR(Grafik!J101),"",Grafik!J101)</f>
        <v/>
      </c>
      <c r="Q65" s="33" t="str">
        <f>IF(ISERROR(Grafik!K101),"",Grafik!K101)</f>
        <v/>
      </c>
      <c r="R65" s="33" t="str">
        <f>IF(ISERROR(Grafik!L101),"",Grafik!L101)</f>
        <v/>
      </c>
      <c r="S65" s="33" t="str">
        <f>IF(ISERROR(Grafik!M101),"",Grafik!M101)</f>
        <v/>
      </c>
      <c r="T65" s="33" t="str">
        <f>IF(ISERROR(Grafik!N101),"",Grafik!N101)</f>
        <v/>
      </c>
      <c r="U65" s="33" t="str">
        <f>IF(ISERROR(Grafik!O101),"",Grafik!O101)</f>
        <v/>
      </c>
      <c r="V65" s="33" t="str">
        <f>IF(ISERROR(Grafik!P101),"",Grafik!P101)</f>
        <v/>
      </c>
      <c r="W65" s="66"/>
      <c r="X65" s="31"/>
      <c r="Y65" s="31"/>
      <c r="Z65" s="31"/>
    </row>
    <row r="66" spans="1:26" ht="19.5" customHeight="1">
      <c r="A66" s="25"/>
      <c r="B66" s="59"/>
      <c r="C66" s="61" t="str">
        <f>IF(B66="","",DATEDIF(Person!$C$22,B66,"y"))</f>
        <v/>
      </c>
      <c r="D66" s="25"/>
      <c r="E66" s="62"/>
      <c r="F66" s="63"/>
      <c r="G66" s="64" t="str">
        <f>IF(F66="","",IF(E66="","",IF(W66="","",F66*(100%-H66/100))))</f>
        <v/>
      </c>
      <c r="H66" s="64" t="str">
        <f>IF(F66="","",IF(E66="","",IF(W66="","",$O$10*(($K$9*F66^$K$10)*($L$9*E66^$L$10)*(ABS(W66-(($J$8*E66^$J$9)*F66^$J$10+$J$7)))^$M$10)+$P$10)))</f>
        <v/>
      </c>
      <c r="I66" s="29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65" t="str">
        <f>IF(J66="","",SUM(J66:S66))</f>
        <v/>
      </c>
      <c r="X66" s="25"/>
      <c r="Y66" s="25"/>
      <c r="Z66" s="25"/>
    </row>
    <row r="67" spans="1:26" ht="19.5" customHeight="1">
      <c r="A67" s="31"/>
      <c r="B67" s="60"/>
      <c r="C67" s="60"/>
      <c r="D67" s="31"/>
      <c r="E67" s="60"/>
      <c r="F67" s="60"/>
      <c r="G67" s="60"/>
      <c r="H67" s="60"/>
      <c r="I67" s="31"/>
      <c r="J67" s="33" t="str">
        <f>IF(ISERROR(Grafik!D103),"",Grafik!D103)</f>
        <v/>
      </c>
      <c r="K67" s="33" t="str">
        <f>IF(ISERROR(Grafik!E103),"",Grafik!E103)</f>
        <v/>
      </c>
      <c r="L67" s="33" t="str">
        <f>IF(ISERROR(Grafik!F103),"",Grafik!F103)</f>
        <v/>
      </c>
      <c r="M67" s="33" t="str">
        <f>IF(ISERROR(Grafik!G103),"",Grafik!G103)</f>
        <v/>
      </c>
      <c r="N67" s="33" t="str">
        <f>IF(ISERROR(Grafik!H103),"",Grafik!H103)</f>
        <v/>
      </c>
      <c r="O67" s="33" t="str">
        <f>IF(ISERROR(Grafik!I103),"",Grafik!I103)</f>
        <v/>
      </c>
      <c r="P67" s="33" t="str">
        <f>IF(ISERROR(Grafik!J103),"",Grafik!J103)</f>
        <v/>
      </c>
      <c r="Q67" s="33" t="str">
        <f>IF(ISERROR(Grafik!K103),"",Grafik!K103)</f>
        <v/>
      </c>
      <c r="R67" s="33" t="str">
        <f>IF(ISERROR(Grafik!L103),"",Grafik!L103)</f>
        <v/>
      </c>
      <c r="S67" s="33" t="str">
        <f>IF(ISERROR(Grafik!M103),"",Grafik!M103)</f>
        <v/>
      </c>
      <c r="T67" s="33" t="str">
        <f>IF(ISERROR(Grafik!N103),"",Grafik!N103)</f>
        <v/>
      </c>
      <c r="U67" s="33" t="str">
        <f>IF(ISERROR(Grafik!O103),"",Grafik!O103)</f>
        <v/>
      </c>
      <c r="V67" s="33" t="str">
        <f>IF(ISERROR(Grafik!P103),"",Grafik!P103)</f>
        <v/>
      </c>
      <c r="W67" s="66"/>
      <c r="X67" s="31"/>
      <c r="Y67" s="31"/>
      <c r="Z67" s="31"/>
    </row>
    <row r="68" spans="1:26" ht="19.5" customHeight="1">
      <c r="A68" s="25"/>
      <c r="B68" s="59"/>
      <c r="C68" s="61" t="str">
        <f>IF(B68="","",DATEDIF(Person!$C$22,B68,"y"))</f>
        <v/>
      </c>
      <c r="D68" s="25"/>
      <c r="E68" s="62"/>
      <c r="F68" s="63"/>
      <c r="G68" s="64" t="str">
        <f>IF(F68="","",IF(E68="","",IF(W68="","",F68*(100%-H68/100))))</f>
        <v/>
      </c>
      <c r="H68" s="64" t="str">
        <f>IF(F68="","",IF(E68="","",IF(W68="","",$O$10*(($K$9*F68^$K$10)*($L$9*E68^$L$10)*(ABS(W68-(($J$8*E68^$J$9)*F68^$J$10+$J$7)))^$M$10)+$P$10)))</f>
        <v/>
      </c>
      <c r="I68" s="29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65" t="str">
        <f>IF(J68="","",SUM(J68:S68))</f>
        <v/>
      </c>
      <c r="X68" s="25"/>
      <c r="Y68" s="25"/>
      <c r="Z68" s="25"/>
    </row>
    <row r="69" spans="1:26" ht="19.5" customHeight="1">
      <c r="A69" s="31"/>
      <c r="B69" s="60"/>
      <c r="C69" s="60"/>
      <c r="D69" s="31"/>
      <c r="E69" s="60"/>
      <c r="F69" s="60"/>
      <c r="G69" s="60"/>
      <c r="H69" s="60"/>
      <c r="I69" s="31"/>
      <c r="J69" s="33" t="str">
        <f>IF(ISERROR(Grafik!D105),"",Grafik!D105)</f>
        <v/>
      </c>
      <c r="K69" s="33" t="str">
        <f>IF(ISERROR(Grafik!E105),"",Grafik!E105)</f>
        <v/>
      </c>
      <c r="L69" s="33" t="str">
        <f>IF(ISERROR(Grafik!F105),"",Grafik!F105)</f>
        <v/>
      </c>
      <c r="M69" s="33" t="str">
        <f>IF(ISERROR(Grafik!G105),"",Grafik!G105)</f>
        <v/>
      </c>
      <c r="N69" s="33" t="str">
        <f>IF(ISERROR(Grafik!H105),"",Grafik!H105)</f>
        <v/>
      </c>
      <c r="O69" s="33" t="str">
        <f>IF(ISERROR(Grafik!I105),"",Grafik!I105)</f>
        <v/>
      </c>
      <c r="P69" s="33" t="str">
        <f>IF(ISERROR(Grafik!J105),"",Grafik!J105)</f>
        <v/>
      </c>
      <c r="Q69" s="33" t="str">
        <f>IF(ISERROR(Grafik!K105),"",Grafik!K105)</f>
        <v/>
      </c>
      <c r="R69" s="33" t="str">
        <f>IF(ISERROR(Grafik!L105),"",Grafik!L105)</f>
        <v/>
      </c>
      <c r="S69" s="33" t="str">
        <f>IF(ISERROR(Grafik!M105),"",Grafik!M105)</f>
        <v/>
      </c>
      <c r="T69" s="33" t="str">
        <f>IF(ISERROR(Grafik!N105),"",Grafik!N105)</f>
        <v/>
      </c>
      <c r="U69" s="33" t="str">
        <f>IF(ISERROR(Grafik!O105),"",Grafik!O105)</f>
        <v/>
      </c>
      <c r="V69" s="33" t="str">
        <f>IF(ISERROR(Grafik!P105),"",Grafik!P105)</f>
        <v/>
      </c>
      <c r="W69" s="66"/>
      <c r="X69" s="31"/>
      <c r="Y69" s="31"/>
      <c r="Z69" s="31"/>
    </row>
    <row r="70" spans="1:26" ht="19.5" customHeight="1">
      <c r="A70" s="25"/>
      <c r="B70" s="59"/>
      <c r="C70" s="61" t="str">
        <f>IF(B70="","",DATEDIF(Person!$C$22,B70,"y"))</f>
        <v/>
      </c>
      <c r="D70" s="25"/>
      <c r="E70" s="62"/>
      <c r="F70" s="63"/>
      <c r="G70" s="64" t="str">
        <f>IF(F70="","",IF(E70="","",IF(W70="","",F70*(100%-H70/100))))</f>
        <v/>
      </c>
      <c r="H70" s="64" t="str">
        <f>IF(F70="","",IF(E70="","",IF(W70="","",$O$10*(($K$9*F70^$K$10)*($L$9*E70^$L$10)*(ABS(W70-(($J$8*E70^$J$9)*F70^$J$10+$J$7)))^$M$10)+$P$10)))</f>
        <v/>
      </c>
      <c r="I70" s="29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65" t="str">
        <f>IF(J70="","",SUM(J70:S70))</f>
        <v/>
      </c>
      <c r="X70" s="25"/>
      <c r="Y70" s="25"/>
      <c r="Z70" s="25"/>
    </row>
    <row r="71" spans="1:26" ht="19.5" customHeight="1">
      <c r="A71" s="31"/>
      <c r="B71" s="60"/>
      <c r="C71" s="60"/>
      <c r="D71" s="31"/>
      <c r="E71" s="60"/>
      <c r="F71" s="60"/>
      <c r="G71" s="60"/>
      <c r="H71" s="60"/>
      <c r="I71" s="31"/>
      <c r="J71" s="33" t="str">
        <f>IF(ISERROR(Grafik!D107),"",Grafik!D107)</f>
        <v/>
      </c>
      <c r="K71" s="33" t="str">
        <f>IF(ISERROR(Grafik!E107),"",Grafik!E107)</f>
        <v/>
      </c>
      <c r="L71" s="33" t="str">
        <f>IF(ISERROR(Grafik!F107),"",Grafik!F107)</f>
        <v/>
      </c>
      <c r="M71" s="33" t="str">
        <f>IF(ISERROR(Grafik!G107),"",Grafik!G107)</f>
        <v/>
      </c>
      <c r="N71" s="33" t="str">
        <f>IF(ISERROR(Grafik!H107),"",Grafik!H107)</f>
        <v/>
      </c>
      <c r="O71" s="33" t="str">
        <f>IF(ISERROR(Grafik!I107),"",Grafik!I107)</f>
        <v/>
      </c>
      <c r="P71" s="33" t="str">
        <f>IF(ISERROR(Grafik!J107),"",Grafik!J107)</f>
        <v/>
      </c>
      <c r="Q71" s="33" t="str">
        <f>IF(ISERROR(Grafik!K107),"",Grafik!K107)</f>
        <v/>
      </c>
      <c r="R71" s="33" t="str">
        <f>IF(ISERROR(Grafik!L107),"",Grafik!L107)</f>
        <v/>
      </c>
      <c r="S71" s="33" t="str">
        <f>IF(ISERROR(Grafik!M107),"",Grafik!M107)</f>
        <v/>
      </c>
      <c r="T71" s="33" t="str">
        <f>IF(ISERROR(Grafik!N107),"",Grafik!N107)</f>
        <v/>
      </c>
      <c r="U71" s="33" t="str">
        <f>IF(ISERROR(Grafik!O107),"",Grafik!O107)</f>
        <v/>
      </c>
      <c r="V71" s="33" t="str">
        <f>IF(ISERROR(Grafik!P107),"",Grafik!P107)</f>
        <v/>
      </c>
      <c r="W71" s="66"/>
      <c r="X71" s="31"/>
      <c r="Y71" s="31"/>
      <c r="Z71" s="31"/>
    </row>
    <row r="72" spans="1:26" ht="19.5" customHeight="1">
      <c r="A72" s="25"/>
      <c r="B72" s="59"/>
      <c r="C72" s="61" t="str">
        <f>IF(B72="","",DATEDIF(Person!$C$22,B72,"y"))</f>
        <v/>
      </c>
      <c r="D72" s="25"/>
      <c r="E72" s="62"/>
      <c r="F72" s="63"/>
      <c r="G72" s="64" t="str">
        <f>IF(F72="","",IF(E72="","",IF(W72="","",F72*(100%-H72/100))))</f>
        <v/>
      </c>
      <c r="H72" s="64" t="str">
        <f>IF(F72="","",IF(E72="","",IF(W72="","",$O$10*(($K$9*F72^$K$10)*($L$9*E72^$L$10)*(ABS(W72-(($J$8*E72^$J$9)*F72^$J$10+$J$7)))^$M$10)+$P$10)))</f>
        <v/>
      </c>
      <c r="I72" s="29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65" t="str">
        <f>IF(J72="","",SUM(J72:S72))</f>
        <v/>
      </c>
      <c r="X72" s="25"/>
      <c r="Y72" s="25"/>
      <c r="Z72" s="25"/>
    </row>
    <row r="73" spans="1:26" ht="19.5" customHeight="1">
      <c r="A73" s="31"/>
      <c r="B73" s="60"/>
      <c r="C73" s="60"/>
      <c r="D73" s="31"/>
      <c r="E73" s="60"/>
      <c r="F73" s="60"/>
      <c r="G73" s="60"/>
      <c r="H73" s="60"/>
      <c r="I73" s="31"/>
      <c r="J73" s="33" t="str">
        <f>IF(ISERROR(Grafik!D109),"",Grafik!D109)</f>
        <v/>
      </c>
      <c r="K73" s="33" t="str">
        <f>IF(ISERROR(Grafik!E109),"",Grafik!E109)</f>
        <v/>
      </c>
      <c r="L73" s="33" t="str">
        <f>IF(ISERROR(Grafik!F109),"",Grafik!F109)</f>
        <v/>
      </c>
      <c r="M73" s="33" t="str">
        <f>IF(ISERROR(Grafik!G109),"",Grafik!G109)</f>
        <v/>
      </c>
      <c r="N73" s="33" t="str">
        <f>IF(ISERROR(Grafik!H109),"",Grafik!H109)</f>
        <v/>
      </c>
      <c r="O73" s="33" t="str">
        <f>IF(ISERROR(Grafik!I109),"",Grafik!I109)</f>
        <v/>
      </c>
      <c r="P73" s="33" t="str">
        <f>IF(ISERROR(Grafik!J109),"",Grafik!J109)</f>
        <v/>
      </c>
      <c r="Q73" s="33" t="str">
        <f>IF(ISERROR(Grafik!K109),"",Grafik!K109)</f>
        <v/>
      </c>
      <c r="R73" s="33" t="str">
        <f>IF(ISERROR(Grafik!L109),"",Grafik!L109)</f>
        <v/>
      </c>
      <c r="S73" s="33" t="str">
        <f>IF(ISERROR(Grafik!M109),"",Grafik!M109)</f>
        <v/>
      </c>
      <c r="T73" s="33" t="str">
        <f>IF(ISERROR(Grafik!N109),"",Grafik!N109)</f>
        <v/>
      </c>
      <c r="U73" s="33" t="str">
        <f>IF(ISERROR(Grafik!O109),"",Grafik!O109)</f>
        <v/>
      </c>
      <c r="V73" s="33" t="str">
        <f>IF(ISERROR(Grafik!P109),"",Grafik!P109)</f>
        <v/>
      </c>
      <c r="W73" s="66"/>
      <c r="X73" s="31"/>
      <c r="Y73" s="31"/>
      <c r="Z73" s="31"/>
    </row>
    <row r="74" spans="1:26" ht="19.5" customHeight="1">
      <c r="A74" s="25"/>
      <c r="B74" s="59"/>
      <c r="C74" s="61" t="str">
        <f>IF(B74="","",DATEDIF(Person!$C$22,B74,"y"))</f>
        <v/>
      </c>
      <c r="D74" s="25"/>
      <c r="E74" s="62"/>
      <c r="F74" s="63"/>
      <c r="G74" s="64" t="str">
        <f>IF(F74="","",IF(E74="","",IF(W74="","",F74*(100%-H74/100))))</f>
        <v/>
      </c>
      <c r="H74" s="64" t="str">
        <f>IF(F74="","",IF(E74="","",IF(W74="","",$O$10*(($K$9*F74^$K$10)*($L$9*E74^$L$10)*(ABS(W74-(($J$8*E74^$J$9)*F74^$J$10+$J$7)))^$M$10)+$P$10)))</f>
        <v/>
      </c>
      <c r="I74" s="29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65" t="str">
        <f>IF(J74="","",SUM(J74:S74))</f>
        <v/>
      </c>
      <c r="X74" s="25"/>
      <c r="Y74" s="25"/>
      <c r="Z74" s="25"/>
    </row>
    <row r="75" spans="1:26" ht="19.5" customHeight="1">
      <c r="A75" s="31"/>
      <c r="B75" s="60"/>
      <c r="C75" s="60"/>
      <c r="D75" s="31"/>
      <c r="E75" s="60"/>
      <c r="F75" s="60"/>
      <c r="G75" s="60"/>
      <c r="H75" s="60"/>
      <c r="I75" s="31"/>
      <c r="J75" s="33" t="str">
        <f>IF(ISERROR(Grafik!D111),"",Grafik!D111)</f>
        <v/>
      </c>
      <c r="K75" s="33" t="str">
        <f>IF(ISERROR(Grafik!E111),"",Grafik!E111)</f>
        <v/>
      </c>
      <c r="L75" s="33" t="str">
        <f>IF(ISERROR(Grafik!F111),"",Grafik!F111)</f>
        <v/>
      </c>
      <c r="M75" s="33" t="str">
        <f>IF(ISERROR(Grafik!G111),"",Grafik!G111)</f>
        <v/>
      </c>
      <c r="N75" s="33" t="str">
        <f>IF(ISERROR(Grafik!H111),"",Grafik!H111)</f>
        <v/>
      </c>
      <c r="O75" s="33" t="str">
        <f>IF(ISERROR(Grafik!I111),"",Grafik!I111)</f>
        <v/>
      </c>
      <c r="P75" s="33" t="str">
        <f>IF(ISERROR(Grafik!J111),"",Grafik!J111)</f>
        <v/>
      </c>
      <c r="Q75" s="33" t="str">
        <f>IF(ISERROR(Grafik!K111),"",Grafik!K111)</f>
        <v/>
      </c>
      <c r="R75" s="33" t="str">
        <f>IF(ISERROR(Grafik!L111),"",Grafik!L111)</f>
        <v/>
      </c>
      <c r="S75" s="33" t="str">
        <f>IF(ISERROR(Grafik!M111),"",Grafik!M111)</f>
        <v/>
      </c>
      <c r="T75" s="33" t="str">
        <f>IF(ISERROR(Grafik!N111),"",Grafik!N111)</f>
        <v/>
      </c>
      <c r="U75" s="33" t="str">
        <f>IF(ISERROR(Grafik!O111),"",Grafik!O111)</f>
        <v/>
      </c>
      <c r="V75" s="33" t="str">
        <f>IF(ISERROR(Grafik!P111),"",Grafik!P111)</f>
        <v/>
      </c>
      <c r="W75" s="66"/>
      <c r="X75" s="31"/>
      <c r="Y75" s="31"/>
      <c r="Z75" s="31"/>
    </row>
    <row r="76" spans="1:26" ht="19.5" customHeight="1">
      <c r="A76" s="25"/>
      <c r="B76" s="59"/>
      <c r="C76" s="61" t="str">
        <f>IF(B76="","",DATEDIF(Person!$C$22,B76,"y"))</f>
        <v/>
      </c>
      <c r="D76" s="25"/>
      <c r="E76" s="62"/>
      <c r="F76" s="63"/>
      <c r="G76" s="64" t="str">
        <f>IF(F76="","",IF(E76="","",IF(W76="","",F76*(100%-H76/100))))</f>
        <v/>
      </c>
      <c r="H76" s="64" t="str">
        <f>IF(F76="","",IF(E76="","",IF(W76="","",$O$10*(($K$9*F76^$K$10)*($L$9*E76^$L$10)*(ABS(W76-(($J$8*E76^$J$9)*F76^$J$10+$J$7)))^$M$10)+$P$10)))</f>
        <v/>
      </c>
      <c r="I76" s="29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65" t="str">
        <f>IF(J76="","",SUM(J76:S76))</f>
        <v/>
      </c>
      <c r="X76" s="25"/>
      <c r="Y76" s="25"/>
      <c r="Z76" s="25"/>
    </row>
    <row r="77" spans="1:26" ht="19.5" customHeight="1">
      <c r="A77" s="31"/>
      <c r="B77" s="60"/>
      <c r="C77" s="60"/>
      <c r="D77" s="31"/>
      <c r="E77" s="60"/>
      <c r="F77" s="60"/>
      <c r="G77" s="60"/>
      <c r="H77" s="60"/>
      <c r="I77" s="31"/>
      <c r="J77" s="33" t="str">
        <f>IF(ISERROR(Grafik!D113),"",Grafik!D113)</f>
        <v/>
      </c>
      <c r="K77" s="33" t="str">
        <f>IF(ISERROR(Grafik!E113),"",Grafik!E113)</f>
        <v/>
      </c>
      <c r="L77" s="33" t="str">
        <f>IF(ISERROR(Grafik!F113),"",Grafik!F113)</f>
        <v/>
      </c>
      <c r="M77" s="33" t="str">
        <f>IF(ISERROR(Grafik!G113),"",Grafik!G113)</f>
        <v/>
      </c>
      <c r="N77" s="33" t="str">
        <f>IF(ISERROR(Grafik!H113),"",Grafik!H113)</f>
        <v/>
      </c>
      <c r="O77" s="33" t="str">
        <f>IF(ISERROR(Grafik!I113),"",Grafik!I113)</f>
        <v/>
      </c>
      <c r="P77" s="33" t="str">
        <f>IF(ISERROR(Grafik!J113),"",Grafik!J113)</f>
        <v/>
      </c>
      <c r="Q77" s="33" t="str">
        <f>IF(ISERROR(Grafik!K113),"",Grafik!K113)</f>
        <v/>
      </c>
      <c r="R77" s="33" t="str">
        <f>IF(ISERROR(Grafik!L113),"",Grafik!L113)</f>
        <v/>
      </c>
      <c r="S77" s="33" t="str">
        <f>IF(ISERROR(Grafik!M113),"",Grafik!M113)</f>
        <v/>
      </c>
      <c r="T77" s="33" t="str">
        <f>IF(ISERROR(Grafik!N113),"",Grafik!N113)</f>
        <v/>
      </c>
      <c r="U77" s="33" t="str">
        <f>IF(ISERROR(Grafik!O113),"",Grafik!O113)</f>
        <v/>
      </c>
      <c r="V77" s="33" t="str">
        <f>IF(ISERROR(Grafik!P113),"",Grafik!P113)</f>
        <v/>
      </c>
      <c r="W77" s="66"/>
      <c r="X77" s="31"/>
      <c r="Y77" s="31"/>
      <c r="Z77" s="31"/>
    </row>
    <row r="78" spans="1:26" ht="19.5" customHeight="1">
      <c r="A78" s="25"/>
      <c r="B78" s="59"/>
      <c r="C78" s="61" t="str">
        <f>IF(B78="","",DATEDIF(Person!$C$22,B78,"y"))</f>
        <v/>
      </c>
      <c r="D78" s="25"/>
      <c r="E78" s="62"/>
      <c r="F78" s="63"/>
      <c r="G78" s="64" t="str">
        <f>IF(F78="","",IF(E78="","",IF(W78="","",F78*(100%-H78/100))))</f>
        <v/>
      </c>
      <c r="H78" s="64" t="str">
        <f>IF(F78="","",IF(E78="","",IF(W78="","",$O$10*(($K$9*F78^$K$10)*($L$9*E78^$L$10)*(ABS(W78-(($J$8*E78^$J$9)*F78^$J$10+$J$7)))^$M$10)+$P$10)))</f>
        <v/>
      </c>
      <c r="I78" s="29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65" t="str">
        <f>IF(J78="","",SUM(J78:S78))</f>
        <v/>
      </c>
      <c r="X78" s="25"/>
      <c r="Y78" s="25"/>
      <c r="Z78" s="25"/>
    </row>
    <row r="79" spans="1:26" ht="19.5" customHeight="1">
      <c r="A79" s="31"/>
      <c r="B79" s="60"/>
      <c r="C79" s="60"/>
      <c r="D79" s="31"/>
      <c r="E79" s="60"/>
      <c r="F79" s="60"/>
      <c r="G79" s="60"/>
      <c r="H79" s="60"/>
      <c r="I79" s="31"/>
      <c r="J79" s="33" t="str">
        <f>IF(ISERROR(Grafik!D115),"",Grafik!D115)</f>
        <v/>
      </c>
      <c r="K79" s="33" t="str">
        <f>IF(ISERROR(Grafik!E115),"",Grafik!E115)</f>
        <v/>
      </c>
      <c r="L79" s="33" t="str">
        <f>IF(ISERROR(Grafik!F115),"",Grafik!F115)</f>
        <v/>
      </c>
      <c r="M79" s="33" t="str">
        <f>IF(ISERROR(Grafik!G115),"",Grafik!G115)</f>
        <v/>
      </c>
      <c r="N79" s="33" t="str">
        <f>IF(ISERROR(Grafik!H115),"",Grafik!H115)</f>
        <v/>
      </c>
      <c r="O79" s="33" t="str">
        <f>IF(ISERROR(Grafik!I115),"",Grafik!I115)</f>
        <v/>
      </c>
      <c r="P79" s="33" t="str">
        <f>IF(ISERROR(Grafik!J115),"",Grafik!J115)</f>
        <v/>
      </c>
      <c r="Q79" s="33" t="str">
        <f>IF(ISERROR(Grafik!K115),"",Grafik!K115)</f>
        <v/>
      </c>
      <c r="R79" s="33" t="str">
        <f>IF(ISERROR(Grafik!L115),"",Grafik!L115)</f>
        <v/>
      </c>
      <c r="S79" s="33" t="str">
        <f>IF(ISERROR(Grafik!M115),"",Grafik!M115)</f>
        <v/>
      </c>
      <c r="T79" s="33" t="str">
        <f>IF(ISERROR(Grafik!N115),"",Grafik!N115)</f>
        <v/>
      </c>
      <c r="U79" s="33" t="str">
        <f>IF(ISERROR(Grafik!O115),"",Grafik!O115)</f>
        <v/>
      </c>
      <c r="V79" s="33" t="str">
        <f>IF(ISERROR(Grafik!P115),"",Grafik!P115)</f>
        <v/>
      </c>
      <c r="W79" s="66"/>
      <c r="X79" s="31"/>
      <c r="Y79" s="31"/>
      <c r="Z79" s="31"/>
    </row>
    <row r="80" spans="1:26" ht="19.5" customHeight="1">
      <c r="A80" s="25"/>
      <c r="B80" s="59"/>
      <c r="C80" s="61" t="str">
        <f>IF(B80="","",DATEDIF(Person!$C$22,B80,"y"))</f>
        <v/>
      </c>
      <c r="D80" s="25"/>
      <c r="E80" s="62"/>
      <c r="F80" s="63"/>
      <c r="G80" s="64" t="str">
        <f>IF(F80="","",IF(E80="","",IF(W80="","",F80*(100%-H80/100))))</f>
        <v/>
      </c>
      <c r="H80" s="64" t="str">
        <f>IF(F80="","",IF(E80="","",IF(W80="","",$O$10*(($K$9*F80^$K$10)*($L$9*E80^$L$10)*(ABS(W80-(($J$8*E80^$J$9)*F80^$J$10+$J$7)))^$M$10)+$P$10)))</f>
        <v/>
      </c>
      <c r="I80" s="29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65" t="str">
        <f>IF(J80="","",SUM(J80:S80))</f>
        <v/>
      </c>
      <c r="X80" s="25"/>
      <c r="Y80" s="25"/>
      <c r="Z80" s="25"/>
    </row>
    <row r="81" spans="1:26" ht="19.5" customHeight="1">
      <c r="A81" s="31"/>
      <c r="B81" s="60"/>
      <c r="C81" s="60"/>
      <c r="D81" s="31"/>
      <c r="E81" s="60"/>
      <c r="F81" s="60"/>
      <c r="G81" s="60"/>
      <c r="H81" s="60"/>
      <c r="I81" s="31"/>
      <c r="J81" s="33" t="str">
        <f>IF(ISERROR(Grafik!D117),"",Grafik!D117)</f>
        <v/>
      </c>
      <c r="K81" s="33" t="str">
        <f>IF(ISERROR(Grafik!E117),"",Grafik!E117)</f>
        <v/>
      </c>
      <c r="L81" s="33" t="str">
        <f>IF(ISERROR(Grafik!F117),"",Grafik!F117)</f>
        <v/>
      </c>
      <c r="M81" s="33" t="str">
        <f>IF(ISERROR(Grafik!G117),"",Grafik!G117)</f>
        <v/>
      </c>
      <c r="N81" s="33" t="str">
        <f>IF(ISERROR(Grafik!H117),"",Grafik!H117)</f>
        <v/>
      </c>
      <c r="O81" s="33" t="str">
        <f>IF(ISERROR(Grafik!I117),"",Grafik!I117)</f>
        <v/>
      </c>
      <c r="P81" s="33" t="str">
        <f>IF(ISERROR(Grafik!J117),"",Grafik!J117)</f>
        <v/>
      </c>
      <c r="Q81" s="33" t="str">
        <f>IF(ISERROR(Grafik!K117),"",Grafik!K117)</f>
        <v/>
      </c>
      <c r="R81" s="33" t="str">
        <f>IF(ISERROR(Grafik!L117),"",Grafik!L117)</f>
        <v/>
      </c>
      <c r="S81" s="33" t="str">
        <f>IF(ISERROR(Grafik!M117),"",Grafik!M117)</f>
        <v/>
      </c>
      <c r="T81" s="33" t="str">
        <f>IF(ISERROR(Grafik!N117),"",Grafik!N117)</f>
        <v/>
      </c>
      <c r="U81" s="33" t="str">
        <f>IF(ISERROR(Grafik!O117),"",Grafik!O117)</f>
        <v/>
      </c>
      <c r="V81" s="33" t="str">
        <f>IF(ISERROR(Grafik!P117),"",Grafik!P117)</f>
        <v/>
      </c>
      <c r="W81" s="66"/>
      <c r="X81" s="31"/>
      <c r="Y81" s="31"/>
      <c r="Z81" s="31"/>
    </row>
    <row r="82" spans="1:26" ht="19.5" customHeight="1">
      <c r="A82" s="25"/>
      <c r="B82" s="59"/>
      <c r="C82" s="61" t="str">
        <f>IF(B82="","",DATEDIF(Person!$C$22,B82,"y"))</f>
        <v/>
      </c>
      <c r="D82" s="25"/>
      <c r="E82" s="62"/>
      <c r="F82" s="63"/>
      <c r="G82" s="64" t="str">
        <f>IF(F82="","",IF(E82="","",IF(W82="","",F82*(100%-H82/100))))</f>
        <v/>
      </c>
      <c r="H82" s="64" t="str">
        <f>IF(F82="","",IF(E82="","",IF(W82="","",$O$10*(($K$9*F82^$K$10)*($L$9*E82^$L$10)*(ABS(W82-(($J$8*E82^$J$9)*F82^$J$10+$J$7)))^$M$10)+$P$10)))</f>
        <v/>
      </c>
      <c r="I82" s="29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65" t="str">
        <f>IF(J82="","",SUM(J82:S82))</f>
        <v/>
      </c>
      <c r="X82" s="25"/>
      <c r="Y82" s="25"/>
      <c r="Z82" s="25"/>
    </row>
    <row r="83" spans="1:26" ht="19.5" customHeight="1">
      <c r="A83" s="31"/>
      <c r="B83" s="60"/>
      <c r="C83" s="60"/>
      <c r="D83" s="31"/>
      <c r="E83" s="60"/>
      <c r="F83" s="60"/>
      <c r="G83" s="60"/>
      <c r="H83" s="60"/>
      <c r="I83" s="31"/>
      <c r="J83" s="33" t="str">
        <f>IF(ISERROR(Grafik!D119),"",Grafik!D119)</f>
        <v/>
      </c>
      <c r="K83" s="33" t="str">
        <f>IF(ISERROR(Grafik!E119),"",Grafik!E119)</f>
        <v/>
      </c>
      <c r="L83" s="33" t="str">
        <f>IF(ISERROR(Grafik!F119),"",Grafik!F119)</f>
        <v/>
      </c>
      <c r="M83" s="33" t="str">
        <f>IF(ISERROR(Grafik!G119),"",Grafik!G119)</f>
        <v/>
      </c>
      <c r="N83" s="33" t="str">
        <f>IF(ISERROR(Grafik!H119),"",Grafik!H119)</f>
        <v/>
      </c>
      <c r="O83" s="33" t="str">
        <f>IF(ISERROR(Grafik!I119),"",Grafik!I119)</f>
        <v/>
      </c>
      <c r="P83" s="33" t="str">
        <f>IF(ISERROR(Grafik!J119),"",Grafik!J119)</f>
        <v/>
      </c>
      <c r="Q83" s="33" t="str">
        <f>IF(ISERROR(Grafik!K119),"",Grafik!K119)</f>
        <v/>
      </c>
      <c r="R83" s="33" t="str">
        <f>IF(ISERROR(Grafik!L119),"",Grafik!L119)</f>
        <v/>
      </c>
      <c r="S83" s="33" t="str">
        <f>IF(ISERROR(Grafik!M119),"",Grafik!M119)</f>
        <v/>
      </c>
      <c r="T83" s="33" t="str">
        <f>IF(ISERROR(Grafik!N119),"",Grafik!N119)</f>
        <v/>
      </c>
      <c r="U83" s="33" t="str">
        <f>IF(ISERROR(Grafik!O119),"",Grafik!O119)</f>
        <v/>
      </c>
      <c r="V83" s="33" t="str">
        <f>IF(ISERROR(Grafik!P119),"",Grafik!P119)</f>
        <v/>
      </c>
      <c r="W83" s="66"/>
      <c r="X83" s="31"/>
      <c r="Y83" s="31"/>
      <c r="Z83" s="31"/>
    </row>
    <row r="84" spans="1:26" ht="19.5" customHeight="1">
      <c r="A84" s="25"/>
      <c r="B84" s="59"/>
      <c r="C84" s="61" t="str">
        <f>IF(B84="","",DATEDIF(Person!$C$22,B84,"y"))</f>
        <v/>
      </c>
      <c r="D84" s="25"/>
      <c r="E84" s="62"/>
      <c r="F84" s="63"/>
      <c r="G84" s="64" t="str">
        <f>IF(F84="","",IF(E84="","",IF(W84="","",F84*(100%-H84/100))))</f>
        <v/>
      </c>
      <c r="H84" s="64" t="str">
        <f>IF(F84="","",IF(E84="","",IF(W84="","",$O$10*(($K$9*F84^$K$10)*($L$9*E84^$L$10)*(ABS(W84-(($J$8*E84^$J$9)*F84^$J$10+$J$7)))^$M$10)+$P$10)))</f>
        <v/>
      </c>
      <c r="I84" s="29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65" t="str">
        <f>IF(J84="","",SUM(J84:S84))</f>
        <v/>
      </c>
      <c r="X84" s="25"/>
      <c r="Y84" s="25"/>
      <c r="Z84" s="25"/>
    </row>
    <row r="85" spans="1:26" ht="19.5" customHeight="1">
      <c r="A85" s="31"/>
      <c r="B85" s="60"/>
      <c r="C85" s="60"/>
      <c r="D85" s="31"/>
      <c r="E85" s="60"/>
      <c r="F85" s="60"/>
      <c r="G85" s="60"/>
      <c r="H85" s="60"/>
      <c r="I85" s="31"/>
      <c r="J85" s="33" t="str">
        <f>IF(ISERROR(Grafik!D121),"",Grafik!D121)</f>
        <v/>
      </c>
      <c r="K85" s="33" t="str">
        <f>IF(ISERROR(Grafik!E121),"",Grafik!E121)</f>
        <v/>
      </c>
      <c r="L85" s="33" t="str">
        <f>IF(ISERROR(Grafik!F121),"",Grafik!F121)</f>
        <v/>
      </c>
      <c r="M85" s="33" t="str">
        <f>IF(ISERROR(Grafik!G121),"",Grafik!G121)</f>
        <v/>
      </c>
      <c r="N85" s="33" t="str">
        <f>IF(ISERROR(Grafik!H121),"",Grafik!H121)</f>
        <v/>
      </c>
      <c r="O85" s="33" t="str">
        <f>IF(ISERROR(Grafik!I121),"",Grafik!I121)</f>
        <v/>
      </c>
      <c r="P85" s="33" t="str">
        <f>IF(ISERROR(Grafik!J121),"",Grafik!J121)</f>
        <v/>
      </c>
      <c r="Q85" s="33" t="str">
        <f>IF(ISERROR(Grafik!K121),"",Grafik!K121)</f>
        <v/>
      </c>
      <c r="R85" s="33" t="str">
        <f>IF(ISERROR(Grafik!L121),"",Grafik!L121)</f>
        <v/>
      </c>
      <c r="S85" s="33" t="str">
        <f>IF(ISERROR(Grafik!M121),"",Grafik!M121)</f>
        <v/>
      </c>
      <c r="T85" s="33" t="str">
        <f>IF(ISERROR(Grafik!N121),"",Grafik!N121)</f>
        <v/>
      </c>
      <c r="U85" s="33" t="str">
        <f>IF(ISERROR(Grafik!O121),"",Grafik!O121)</f>
        <v/>
      </c>
      <c r="V85" s="33" t="str">
        <f>IF(ISERROR(Grafik!P121),"",Grafik!P121)</f>
        <v/>
      </c>
      <c r="W85" s="66"/>
      <c r="X85" s="31"/>
      <c r="Y85" s="31"/>
      <c r="Z85" s="31"/>
    </row>
    <row r="86" spans="1:26" ht="19.5" customHeight="1">
      <c r="A86" s="25"/>
      <c r="B86" s="59"/>
      <c r="C86" s="61" t="str">
        <f>IF(B86="","",DATEDIF(Person!$C$22,B86,"y"))</f>
        <v/>
      </c>
      <c r="D86" s="25"/>
      <c r="E86" s="62"/>
      <c r="F86" s="63"/>
      <c r="G86" s="64" t="str">
        <f>IF(F86="","",IF(E86="","",IF(W86="","",F86*(100%-H86/100))))</f>
        <v/>
      </c>
      <c r="H86" s="64" t="str">
        <f>IF(F86="","",IF(E86="","",IF(W86="","",$O$10*(($K$9*F86^$K$10)*($L$9*E86^$L$10)*(ABS(W86-(($J$8*E86^$J$9)*F86^$J$10+$J$7)))^$M$10)+$P$10)))</f>
        <v/>
      </c>
      <c r="I86" s="29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65" t="str">
        <f>IF(J86="","",SUM(J86:S86))</f>
        <v/>
      </c>
      <c r="X86" s="25"/>
      <c r="Y86" s="25"/>
      <c r="Z86" s="25"/>
    </row>
    <row r="87" spans="1:26" ht="19.5" customHeight="1">
      <c r="A87" s="31"/>
      <c r="B87" s="60"/>
      <c r="C87" s="60"/>
      <c r="D87" s="31"/>
      <c r="E87" s="60"/>
      <c r="F87" s="60"/>
      <c r="G87" s="60"/>
      <c r="H87" s="60"/>
      <c r="I87" s="31"/>
      <c r="J87" s="33" t="str">
        <f>IF(ISERROR(Grafik!D123),"",Grafik!D123)</f>
        <v/>
      </c>
      <c r="K87" s="33" t="str">
        <f>IF(ISERROR(Grafik!E123),"",Grafik!E123)</f>
        <v/>
      </c>
      <c r="L87" s="33" t="str">
        <f>IF(ISERROR(Grafik!F123),"",Grafik!F123)</f>
        <v/>
      </c>
      <c r="M87" s="33" t="str">
        <f>IF(ISERROR(Grafik!G123),"",Grafik!G123)</f>
        <v/>
      </c>
      <c r="N87" s="33" t="str">
        <f>IF(ISERROR(Grafik!H123),"",Grafik!H123)</f>
        <v/>
      </c>
      <c r="O87" s="33" t="str">
        <f>IF(ISERROR(Grafik!I123),"",Grafik!I123)</f>
        <v/>
      </c>
      <c r="P87" s="33" t="str">
        <f>IF(ISERROR(Grafik!J123),"",Grafik!J123)</f>
        <v/>
      </c>
      <c r="Q87" s="33" t="str">
        <f>IF(ISERROR(Grafik!K123),"",Grafik!K123)</f>
        <v/>
      </c>
      <c r="R87" s="33" t="str">
        <f>IF(ISERROR(Grafik!L123),"",Grafik!L123)</f>
        <v/>
      </c>
      <c r="S87" s="33" t="str">
        <f>IF(ISERROR(Grafik!M123),"",Grafik!M123)</f>
        <v/>
      </c>
      <c r="T87" s="33" t="str">
        <f>IF(ISERROR(Grafik!N123),"",Grafik!N123)</f>
        <v/>
      </c>
      <c r="U87" s="33" t="str">
        <f>IF(ISERROR(Grafik!O123),"",Grafik!O123)</f>
        <v/>
      </c>
      <c r="V87" s="33" t="str">
        <f>IF(ISERROR(Grafik!P123),"",Grafik!P123)</f>
        <v/>
      </c>
      <c r="W87" s="66"/>
      <c r="X87" s="31"/>
      <c r="Y87" s="31"/>
      <c r="Z87" s="31"/>
    </row>
    <row r="88" spans="1:26" ht="19.5" customHeight="1">
      <c r="A88" s="25"/>
      <c r="B88" s="59"/>
      <c r="C88" s="61" t="str">
        <f>IF(B88="","",DATEDIF(Person!$C$22,B88,"y"))</f>
        <v/>
      </c>
      <c r="D88" s="25"/>
      <c r="E88" s="62"/>
      <c r="F88" s="63"/>
      <c r="G88" s="64" t="str">
        <f>IF(F88="","",IF(E88="","",IF(W88="","",F88*(100%-H88/100))))</f>
        <v/>
      </c>
      <c r="H88" s="64" t="str">
        <f>IF(F88="","",IF(E88="","",IF(W88="","",$O$10*(($K$9*F88^$K$10)*($L$9*E88^$L$10)*(ABS(W88-(($J$8*E88^$J$9)*F88^$J$10+$J$7)))^$M$10)+$P$10)))</f>
        <v/>
      </c>
      <c r="I88" s="29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65" t="str">
        <f>IF(J88="","",SUM(J88:S88))</f>
        <v/>
      </c>
      <c r="X88" s="25"/>
      <c r="Y88" s="25"/>
      <c r="Z88" s="25"/>
    </row>
    <row r="89" spans="1:26" ht="19.5" customHeight="1">
      <c r="A89" s="31"/>
      <c r="B89" s="60"/>
      <c r="C89" s="60"/>
      <c r="D89" s="31"/>
      <c r="E89" s="60"/>
      <c r="F89" s="60"/>
      <c r="G89" s="60"/>
      <c r="H89" s="60"/>
      <c r="I89" s="31"/>
      <c r="J89" s="33" t="str">
        <f>IF(ISERROR(Grafik!D125),"",Grafik!D125)</f>
        <v/>
      </c>
      <c r="K89" s="33" t="str">
        <f>IF(ISERROR(Grafik!E125),"",Grafik!E125)</f>
        <v/>
      </c>
      <c r="L89" s="33" t="str">
        <f>IF(ISERROR(Grafik!F125),"",Grafik!F125)</f>
        <v/>
      </c>
      <c r="M89" s="33" t="str">
        <f>IF(ISERROR(Grafik!G125),"",Grafik!G125)</f>
        <v/>
      </c>
      <c r="N89" s="33" t="str">
        <f>IF(ISERROR(Grafik!H125),"",Grafik!H125)</f>
        <v/>
      </c>
      <c r="O89" s="33" t="str">
        <f>IF(ISERROR(Grafik!I125),"",Grafik!I125)</f>
        <v/>
      </c>
      <c r="P89" s="33" t="str">
        <f>IF(ISERROR(Grafik!J125),"",Grafik!J125)</f>
        <v/>
      </c>
      <c r="Q89" s="33" t="str">
        <f>IF(ISERROR(Grafik!K125),"",Grafik!K125)</f>
        <v/>
      </c>
      <c r="R89" s="33" t="str">
        <f>IF(ISERROR(Grafik!L125),"",Grafik!L125)</f>
        <v/>
      </c>
      <c r="S89" s="33" t="str">
        <f>IF(ISERROR(Grafik!M125),"",Grafik!M125)</f>
        <v/>
      </c>
      <c r="T89" s="33" t="str">
        <f>IF(ISERROR(Grafik!N125),"",Grafik!N125)</f>
        <v/>
      </c>
      <c r="U89" s="33" t="str">
        <f>IF(ISERROR(Grafik!O125),"",Grafik!O125)</f>
        <v/>
      </c>
      <c r="V89" s="33" t="str">
        <f>IF(ISERROR(Grafik!P125),"",Grafik!P125)</f>
        <v/>
      </c>
      <c r="W89" s="66"/>
      <c r="X89" s="31"/>
      <c r="Y89" s="31"/>
      <c r="Z89" s="31"/>
    </row>
    <row r="90" spans="1:26" ht="19.5" customHeight="1">
      <c r="A90" s="25"/>
      <c r="B90" s="59"/>
      <c r="C90" s="61" t="str">
        <f>IF(B90="","",DATEDIF(Person!$C$22,B90,"y"))</f>
        <v/>
      </c>
      <c r="D90" s="25"/>
      <c r="E90" s="62"/>
      <c r="F90" s="63"/>
      <c r="G90" s="64" t="str">
        <f>IF(F90="","",IF(E90="","",IF(W90="","",F90*(100%-H90/100))))</f>
        <v/>
      </c>
      <c r="H90" s="64" t="str">
        <f>IF(F90="","",IF(E90="","",IF(W90="","",$O$10*(($K$9*F90^$K$10)*($L$9*E90^$L$10)*(ABS(W90-(($J$8*E90^$J$9)*F90^$J$10+$J$7)))^$M$10)+$P$10)))</f>
        <v/>
      </c>
      <c r="I90" s="29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65" t="str">
        <f>IF(J90="","",SUM(J90:S90))</f>
        <v/>
      </c>
      <c r="X90" s="25"/>
      <c r="Y90" s="25"/>
      <c r="Z90" s="25"/>
    </row>
    <row r="91" spans="1:26" ht="19.5" customHeight="1">
      <c r="A91" s="31"/>
      <c r="B91" s="60"/>
      <c r="C91" s="60"/>
      <c r="D91" s="31"/>
      <c r="E91" s="60"/>
      <c r="F91" s="60"/>
      <c r="G91" s="60"/>
      <c r="H91" s="60"/>
      <c r="I91" s="31"/>
      <c r="J91" s="33" t="str">
        <f>IF(ISERROR(Grafik!D127),"",Grafik!D127)</f>
        <v/>
      </c>
      <c r="K91" s="33" t="str">
        <f>IF(ISERROR(Grafik!E127),"",Grafik!E127)</f>
        <v/>
      </c>
      <c r="L91" s="33" t="str">
        <f>IF(ISERROR(Grafik!F127),"",Grafik!F127)</f>
        <v/>
      </c>
      <c r="M91" s="33" t="str">
        <f>IF(ISERROR(Grafik!G127),"",Grafik!G127)</f>
        <v/>
      </c>
      <c r="N91" s="33" t="str">
        <f>IF(ISERROR(Grafik!H127),"",Grafik!H127)</f>
        <v/>
      </c>
      <c r="O91" s="33" t="str">
        <f>IF(ISERROR(Grafik!I127),"",Grafik!I127)</f>
        <v/>
      </c>
      <c r="P91" s="33" t="str">
        <f>IF(ISERROR(Grafik!J127),"",Grafik!J127)</f>
        <v/>
      </c>
      <c r="Q91" s="33" t="str">
        <f>IF(ISERROR(Grafik!K127),"",Grafik!K127)</f>
        <v/>
      </c>
      <c r="R91" s="33" t="str">
        <f>IF(ISERROR(Grafik!L127),"",Grafik!L127)</f>
        <v/>
      </c>
      <c r="S91" s="33" t="str">
        <f>IF(ISERROR(Grafik!M127),"",Grafik!M127)</f>
        <v/>
      </c>
      <c r="T91" s="33" t="str">
        <f>IF(ISERROR(Grafik!N127),"",Grafik!N127)</f>
        <v/>
      </c>
      <c r="U91" s="33" t="str">
        <f>IF(ISERROR(Grafik!O127),"",Grafik!O127)</f>
        <v/>
      </c>
      <c r="V91" s="33" t="str">
        <f>IF(ISERROR(Grafik!P127),"",Grafik!P127)</f>
        <v/>
      </c>
      <c r="W91" s="66"/>
      <c r="X91" s="31"/>
      <c r="Y91" s="31"/>
      <c r="Z91" s="31"/>
    </row>
    <row r="92" spans="1:26" ht="19.5" customHeight="1">
      <c r="A92" s="25"/>
      <c r="B92" s="59"/>
      <c r="C92" s="61" t="str">
        <f>IF(B92="","",DATEDIF(Person!$C$22,B92,"y"))</f>
        <v/>
      </c>
      <c r="D92" s="25"/>
      <c r="E92" s="62"/>
      <c r="F92" s="63"/>
      <c r="G92" s="64" t="str">
        <f>IF(F92="","",IF(E92="","",IF(W92="","",F92*(100%-H92/100))))</f>
        <v/>
      </c>
      <c r="H92" s="64" t="str">
        <f>IF(F92="","",IF(E92="","",IF(W92="","",$O$10*(($K$9*F92^$K$10)*($L$9*E92^$L$10)*(ABS(W92-(($J$8*E92^$J$9)*F92^$J$10+$J$7)))^$M$10)+$P$10)))</f>
        <v/>
      </c>
      <c r="I92" s="29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65" t="str">
        <f>IF(J92="","",SUM(J92:S92))</f>
        <v/>
      </c>
      <c r="X92" s="25"/>
      <c r="Y92" s="25"/>
      <c r="Z92" s="25"/>
    </row>
    <row r="93" spans="1:26" ht="19.5" customHeight="1">
      <c r="A93" s="31"/>
      <c r="B93" s="60"/>
      <c r="C93" s="60"/>
      <c r="D93" s="31"/>
      <c r="E93" s="60"/>
      <c r="F93" s="60"/>
      <c r="G93" s="60"/>
      <c r="H93" s="60"/>
      <c r="I93" s="31"/>
      <c r="J93" s="33" t="str">
        <f>IF(ISERROR(Grafik!D129),"",Grafik!D129)</f>
        <v/>
      </c>
      <c r="K93" s="33" t="str">
        <f>IF(ISERROR(Grafik!E129),"",Grafik!E129)</f>
        <v/>
      </c>
      <c r="L93" s="33" t="str">
        <f>IF(ISERROR(Grafik!F129),"",Grafik!F129)</f>
        <v/>
      </c>
      <c r="M93" s="33" t="str">
        <f>IF(ISERROR(Grafik!G129),"",Grafik!G129)</f>
        <v/>
      </c>
      <c r="N93" s="33" t="str">
        <f>IF(ISERROR(Grafik!H129),"",Grafik!H129)</f>
        <v/>
      </c>
      <c r="O93" s="33" t="str">
        <f>IF(ISERROR(Grafik!I129),"",Grafik!I129)</f>
        <v/>
      </c>
      <c r="P93" s="33" t="str">
        <f>IF(ISERROR(Grafik!J129),"",Grafik!J129)</f>
        <v/>
      </c>
      <c r="Q93" s="33" t="str">
        <f>IF(ISERROR(Grafik!K129),"",Grafik!K129)</f>
        <v/>
      </c>
      <c r="R93" s="33" t="str">
        <f>IF(ISERROR(Grafik!L129),"",Grafik!L129)</f>
        <v/>
      </c>
      <c r="S93" s="33" t="str">
        <f>IF(ISERROR(Grafik!M129),"",Grafik!M129)</f>
        <v/>
      </c>
      <c r="T93" s="33" t="str">
        <f>IF(ISERROR(Grafik!N129),"",Grafik!N129)</f>
        <v/>
      </c>
      <c r="U93" s="33" t="str">
        <f>IF(ISERROR(Grafik!O129),"",Grafik!O129)</f>
        <v/>
      </c>
      <c r="V93" s="33" t="str">
        <f>IF(ISERROR(Grafik!P129),"",Grafik!P129)</f>
        <v/>
      </c>
      <c r="W93" s="66"/>
      <c r="X93" s="31"/>
      <c r="Y93" s="31"/>
      <c r="Z93" s="31"/>
    </row>
    <row r="94" spans="1:26" ht="19.5" customHeight="1">
      <c r="A94" s="25"/>
      <c r="B94" s="59"/>
      <c r="C94" s="61" t="str">
        <f>IF(B94="","",DATEDIF(Person!$C$22,B94,"y"))</f>
        <v/>
      </c>
      <c r="D94" s="25"/>
      <c r="E94" s="62"/>
      <c r="F94" s="63"/>
      <c r="G94" s="64" t="str">
        <f>IF(F94="","",IF(E94="","",IF(W94="","",F94*(100%-H94/100))))</f>
        <v/>
      </c>
      <c r="H94" s="64" t="str">
        <f>IF(F94="","",IF(E94="","",IF(W94="","",$O$10*(($K$9*F94^$K$10)*($L$9*E94^$L$10)*(ABS(W94-(($J$8*E94^$J$9)*F94^$J$10+$J$7)))^$M$10)+$P$10)))</f>
        <v/>
      </c>
      <c r="I94" s="29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65" t="str">
        <f>IF(J94="","",SUM(J94:S94))</f>
        <v/>
      </c>
      <c r="X94" s="25"/>
      <c r="Y94" s="25"/>
      <c r="Z94" s="25"/>
    </row>
    <row r="95" spans="1:26" ht="19.5" customHeight="1">
      <c r="A95" s="31"/>
      <c r="B95" s="60"/>
      <c r="C95" s="60"/>
      <c r="D95" s="31"/>
      <c r="E95" s="60"/>
      <c r="F95" s="60"/>
      <c r="G95" s="60"/>
      <c r="H95" s="60"/>
      <c r="I95" s="31"/>
      <c r="J95" s="33" t="str">
        <f>IF(ISERROR(Grafik!D131),"",Grafik!D131)</f>
        <v/>
      </c>
      <c r="K95" s="33" t="str">
        <f>IF(ISERROR(Grafik!E131),"",Grafik!E131)</f>
        <v/>
      </c>
      <c r="L95" s="33" t="str">
        <f>IF(ISERROR(Grafik!F131),"",Grafik!F131)</f>
        <v/>
      </c>
      <c r="M95" s="33" t="str">
        <f>IF(ISERROR(Grafik!G131),"",Grafik!G131)</f>
        <v/>
      </c>
      <c r="N95" s="33" t="str">
        <f>IF(ISERROR(Grafik!H131),"",Grafik!H131)</f>
        <v/>
      </c>
      <c r="O95" s="33" t="str">
        <f>IF(ISERROR(Grafik!I131),"",Grafik!I131)</f>
        <v/>
      </c>
      <c r="P95" s="33" t="str">
        <f>IF(ISERROR(Grafik!J131),"",Grafik!J131)</f>
        <v/>
      </c>
      <c r="Q95" s="33" t="str">
        <f>IF(ISERROR(Grafik!K131),"",Grafik!K131)</f>
        <v/>
      </c>
      <c r="R95" s="33" t="str">
        <f>IF(ISERROR(Grafik!L131),"",Grafik!L131)</f>
        <v/>
      </c>
      <c r="S95" s="33" t="str">
        <f>IF(ISERROR(Grafik!M131),"",Grafik!M131)</f>
        <v/>
      </c>
      <c r="T95" s="33" t="str">
        <f>IF(ISERROR(Grafik!N131),"",Grafik!N131)</f>
        <v/>
      </c>
      <c r="U95" s="33" t="str">
        <f>IF(ISERROR(Grafik!O131),"",Grafik!O131)</f>
        <v/>
      </c>
      <c r="V95" s="33" t="str">
        <f>IF(ISERROR(Grafik!P131),"",Grafik!P131)</f>
        <v/>
      </c>
      <c r="W95" s="66"/>
      <c r="X95" s="31"/>
      <c r="Y95" s="31"/>
      <c r="Z95" s="31"/>
    </row>
    <row r="96" spans="1:26" ht="19.5" customHeight="1">
      <c r="A96" s="25"/>
      <c r="B96" s="59"/>
      <c r="C96" s="61" t="str">
        <f>IF(B96="","",DATEDIF(Person!$C$22,B96,"y"))</f>
        <v/>
      </c>
      <c r="D96" s="25"/>
      <c r="E96" s="62"/>
      <c r="F96" s="63"/>
      <c r="G96" s="64" t="str">
        <f>IF(F96="","",IF(E96="","",IF(W96="","",F96*(100%-H96/100))))</f>
        <v/>
      </c>
      <c r="H96" s="64" t="str">
        <f>IF(F96="","",IF(E96="","",IF(W96="","",$O$10*(($K$9*F96^$K$10)*($L$9*E96^$L$10)*(ABS(W96-(($J$8*E96^$J$9)*F96^$J$10+$J$7)))^$M$10)+$P$10)))</f>
        <v/>
      </c>
      <c r="I96" s="29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65" t="str">
        <f>IF(J96="","",SUM(J96:S96))</f>
        <v/>
      </c>
      <c r="X96" s="25"/>
      <c r="Y96" s="25"/>
      <c r="Z96" s="25"/>
    </row>
    <row r="97" spans="1:26" ht="19.5" customHeight="1">
      <c r="A97" s="31"/>
      <c r="B97" s="60"/>
      <c r="C97" s="60"/>
      <c r="D97" s="31"/>
      <c r="E97" s="60"/>
      <c r="F97" s="60"/>
      <c r="G97" s="60"/>
      <c r="H97" s="60"/>
      <c r="I97" s="31"/>
      <c r="J97" s="33" t="str">
        <f>IF(ISERROR(Grafik!D133),"",Grafik!D133)</f>
        <v/>
      </c>
      <c r="K97" s="33" t="str">
        <f>IF(ISERROR(Grafik!E133),"",Grafik!E133)</f>
        <v/>
      </c>
      <c r="L97" s="33" t="str">
        <f>IF(ISERROR(Grafik!F133),"",Grafik!F133)</f>
        <v/>
      </c>
      <c r="M97" s="33" t="str">
        <f>IF(ISERROR(Grafik!G133),"",Grafik!G133)</f>
        <v/>
      </c>
      <c r="N97" s="33" t="str">
        <f>IF(ISERROR(Grafik!H133),"",Grafik!H133)</f>
        <v/>
      </c>
      <c r="O97" s="33" t="str">
        <f>IF(ISERROR(Grafik!I133),"",Grafik!I133)</f>
        <v/>
      </c>
      <c r="P97" s="33" t="str">
        <f>IF(ISERROR(Grafik!J133),"",Grafik!J133)</f>
        <v/>
      </c>
      <c r="Q97" s="33" t="str">
        <f>IF(ISERROR(Grafik!K133),"",Grafik!K133)</f>
        <v/>
      </c>
      <c r="R97" s="33" t="str">
        <f>IF(ISERROR(Grafik!L133),"",Grafik!L133)</f>
        <v/>
      </c>
      <c r="S97" s="33" t="str">
        <f>IF(ISERROR(Grafik!M133),"",Grafik!M133)</f>
        <v/>
      </c>
      <c r="T97" s="33" t="str">
        <f>IF(ISERROR(Grafik!N133),"",Grafik!N133)</f>
        <v/>
      </c>
      <c r="U97" s="33" t="str">
        <f>IF(ISERROR(Grafik!O133),"",Grafik!O133)</f>
        <v/>
      </c>
      <c r="V97" s="33" t="str">
        <f>IF(ISERROR(Grafik!P133),"",Grafik!P133)</f>
        <v/>
      </c>
      <c r="W97" s="66"/>
      <c r="X97" s="31"/>
      <c r="Y97" s="31"/>
      <c r="Z97" s="31"/>
    </row>
    <row r="98" spans="1:26" ht="19.5" customHeight="1">
      <c r="A98" s="25"/>
      <c r="B98" s="59"/>
      <c r="C98" s="61" t="str">
        <f>IF(B98="","",DATEDIF(Person!$C$22,B98,"y"))</f>
        <v/>
      </c>
      <c r="D98" s="25"/>
      <c r="E98" s="62"/>
      <c r="F98" s="63"/>
      <c r="G98" s="64" t="str">
        <f>IF(F98="","",IF(E98="","",IF(W98="","",F98*(100%-H98/100))))</f>
        <v/>
      </c>
      <c r="H98" s="64" t="str">
        <f>IF(F98="","",IF(E98="","",IF(W98="","",$O$10*(($K$9*F98^$K$10)*($L$9*E98^$L$10)*(ABS(W98-(($J$8*E98^$J$9)*F98^$J$10+$J$7)))^$M$10)+$P$10)))</f>
        <v/>
      </c>
      <c r="I98" s="29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65" t="str">
        <f>IF(J98="","",SUM(J98:S98))</f>
        <v/>
      </c>
      <c r="X98" s="25"/>
      <c r="Y98" s="25"/>
      <c r="Z98" s="25"/>
    </row>
    <row r="99" spans="1:26" ht="19.5" customHeight="1">
      <c r="A99" s="31"/>
      <c r="B99" s="60"/>
      <c r="C99" s="60"/>
      <c r="D99" s="31"/>
      <c r="E99" s="60"/>
      <c r="F99" s="60"/>
      <c r="G99" s="60"/>
      <c r="H99" s="60"/>
      <c r="I99" s="31"/>
      <c r="J99" s="33" t="str">
        <f>IF(ISERROR(Grafik!D135),"",Grafik!D135)</f>
        <v/>
      </c>
      <c r="K99" s="33" t="str">
        <f>IF(ISERROR(Grafik!E135),"",Grafik!E135)</f>
        <v/>
      </c>
      <c r="L99" s="33" t="str">
        <f>IF(ISERROR(Grafik!F135),"",Grafik!F135)</f>
        <v/>
      </c>
      <c r="M99" s="33" t="str">
        <f>IF(ISERROR(Grafik!G135),"",Grafik!G135)</f>
        <v/>
      </c>
      <c r="N99" s="33" t="str">
        <f>IF(ISERROR(Grafik!H135),"",Grafik!H135)</f>
        <v/>
      </c>
      <c r="O99" s="33" t="str">
        <f>IF(ISERROR(Grafik!I135),"",Grafik!I135)</f>
        <v/>
      </c>
      <c r="P99" s="33" t="str">
        <f>IF(ISERROR(Grafik!J135),"",Grafik!J135)</f>
        <v/>
      </c>
      <c r="Q99" s="33" t="str">
        <f>IF(ISERROR(Grafik!K135),"",Grafik!K135)</f>
        <v/>
      </c>
      <c r="R99" s="33" t="str">
        <f>IF(ISERROR(Grafik!L135),"",Grafik!L135)</f>
        <v/>
      </c>
      <c r="S99" s="33" t="str">
        <f>IF(ISERROR(Grafik!M135),"",Grafik!M135)</f>
        <v/>
      </c>
      <c r="T99" s="33" t="str">
        <f>IF(ISERROR(Grafik!N135),"",Grafik!N135)</f>
        <v/>
      </c>
      <c r="U99" s="33" t="str">
        <f>IF(ISERROR(Grafik!O135),"",Grafik!O135)</f>
        <v/>
      </c>
      <c r="V99" s="33" t="str">
        <f>IF(ISERROR(Grafik!P135),"",Grafik!P135)</f>
        <v/>
      </c>
      <c r="W99" s="66"/>
      <c r="X99" s="31"/>
      <c r="Y99" s="31"/>
      <c r="Z99" s="31"/>
    </row>
    <row r="100" spans="1:26" ht="19.5" customHeight="1">
      <c r="A100" s="25"/>
      <c r="B100" s="59"/>
      <c r="C100" s="61" t="str">
        <f>IF(B100="","",DATEDIF(Person!$C$22,B100,"y"))</f>
        <v/>
      </c>
      <c r="D100" s="25"/>
      <c r="E100" s="62"/>
      <c r="F100" s="63"/>
      <c r="G100" s="64" t="str">
        <f>IF(F100="","",IF(E100="","",IF(W100="","",F100*(100%-H100/100))))</f>
        <v/>
      </c>
      <c r="H100" s="64" t="str">
        <f>IF(F100="","",IF(E100="","",IF(W100="","",$O$10*(($K$9*F100^$K$10)*($L$9*E100^$L$10)*(ABS(W100-(($J$8*E100^$J$9)*F100^$J$10+$J$7)))^$M$10)+$P$10)))</f>
        <v/>
      </c>
      <c r="I100" s="29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65" t="str">
        <f>IF(J100="","",SUM(J100:S100))</f>
        <v/>
      </c>
      <c r="X100" s="25"/>
      <c r="Y100" s="25"/>
      <c r="Z100" s="25"/>
    </row>
    <row r="101" spans="1:26" ht="19.5" customHeight="1">
      <c r="A101" s="31"/>
      <c r="B101" s="60"/>
      <c r="C101" s="60"/>
      <c r="D101" s="31"/>
      <c r="E101" s="60"/>
      <c r="F101" s="60"/>
      <c r="G101" s="60"/>
      <c r="H101" s="60"/>
      <c r="I101" s="31"/>
      <c r="J101" s="33" t="str">
        <f>IF(ISERROR(Grafik!D137),"",Grafik!D137)</f>
        <v/>
      </c>
      <c r="K101" s="33" t="str">
        <f>IF(ISERROR(Grafik!E137),"",Grafik!E137)</f>
        <v/>
      </c>
      <c r="L101" s="33" t="str">
        <f>IF(ISERROR(Grafik!F137),"",Grafik!F137)</f>
        <v/>
      </c>
      <c r="M101" s="33" t="str">
        <f>IF(ISERROR(Grafik!G137),"",Grafik!G137)</f>
        <v/>
      </c>
      <c r="N101" s="33" t="str">
        <f>IF(ISERROR(Grafik!H137),"",Grafik!H137)</f>
        <v/>
      </c>
      <c r="O101" s="33" t="str">
        <f>IF(ISERROR(Grafik!I137),"",Grafik!I137)</f>
        <v/>
      </c>
      <c r="P101" s="33" t="str">
        <f>IF(ISERROR(Grafik!J137),"",Grafik!J137)</f>
        <v/>
      </c>
      <c r="Q101" s="33" t="str">
        <f>IF(ISERROR(Grafik!K137),"",Grafik!K137)</f>
        <v/>
      </c>
      <c r="R101" s="33" t="str">
        <f>IF(ISERROR(Grafik!L137),"",Grafik!L137)</f>
        <v/>
      </c>
      <c r="S101" s="33" t="str">
        <f>IF(ISERROR(Grafik!M137),"",Grafik!M137)</f>
        <v/>
      </c>
      <c r="T101" s="33" t="str">
        <f>IF(ISERROR(Grafik!N137),"",Grafik!N137)</f>
        <v/>
      </c>
      <c r="U101" s="33" t="str">
        <f>IF(ISERROR(Grafik!O137),"",Grafik!O137)</f>
        <v/>
      </c>
      <c r="V101" s="33" t="str">
        <f>IF(ISERROR(Grafik!P137),"",Grafik!P137)</f>
        <v/>
      </c>
      <c r="W101" s="66"/>
      <c r="X101" s="31"/>
      <c r="Y101" s="31"/>
      <c r="Z101" s="31"/>
    </row>
    <row r="102" spans="1:26" ht="19.5" customHeight="1">
      <c r="A102" s="25"/>
      <c r="B102" s="59"/>
      <c r="C102" s="61" t="str">
        <f>IF(B102="","",DATEDIF(Person!$C$22,B102,"y"))</f>
        <v/>
      </c>
      <c r="D102" s="25"/>
      <c r="E102" s="62"/>
      <c r="F102" s="63"/>
      <c r="G102" s="64" t="str">
        <f>IF(F102="","",IF(E102="","",IF(W102="","",F102*(100%-H102/100))))</f>
        <v/>
      </c>
      <c r="H102" s="64" t="str">
        <f>IF(F102="","",IF(E102="","",IF(W102="","",$O$10*(($K$9*F102^$K$10)*($L$9*E102^$L$10)*(ABS(W102-(($J$8*E102^$J$9)*F102^$J$10+$J$7)))^$M$10)+$P$10)))</f>
        <v/>
      </c>
      <c r="I102" s="29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65" t="str">
        <f>IF(J102="","",SUM(J102:S102))</f>
        <v/>
      </c>
      <c r="X102" s="25"/>
      <c r="Y102" s="25"/>
      <c r="Z102" s="25"/>
    </row>
    <row r="103" spans="1:26" ht="19.5" customHeight="1">
      <c r="A103" s="31"/>
      <c r="B103" s="60"/>
      <c r="C103" s="60"/>
      <c r="D103" s="31"/>
      <c r="E103" s="60"/>
      <c r="F103" s="60"/>
      <c r="G103" s="60"/>
      <c r="H103" s="60"/>
      <c r="I103" s="31"/>
      <c r="J103" s="33" t="str">
        <f>IF(ISERROR(Grafik!D139),"",Grafik!D139)</f>
        <v/>
      </c>
      <c r="K103" s="33" t="str">
        <f>IF(ISERROR(Grafik!E139),"",Grafik!E139)</f>
        <v/>
      </c>
      <c r="L103" s="33" t="str">
        <f>IF(ISERROR(Grafik!F139),"",Grafik!F139)</f>
        <v/>
      </c>
      <c r="M103" s="33" t="str">
        <f>IF(ISERROR(Grafik!G139),"",Grafik!G139)</f>
        <v/>
      </c>
      <c r="N103" s="33" t="str">
        <f>IF(ISERROR(Grafik!H139),"",Grafik!H139)</f>
        <v/>
      </c>
      <c r="O103" s="33" t="str">
        <f>IF(ISERROR(Grafik!I139),"",Grafik!I139)</f>
        <v/>
      </c>
      <c r="P103" s="33" t="str">
        <f>IF(ISERROR(Grafik!J139),"",Grafik!J139)</f>
        <v/>
      </c>
      <c r="Q103" s="33" t="str">
        <f>IF(ISERROR(Grafik!K139),"",Grafik!K139)</f>
        <v/>
      </c>
      <c r="R103" s="33" t="str">
        <f>IF(ISERROR(Grafik!L139),"",Grafik!L139)</f>
        <v/>
      </c>
      <c r="S103" s="33" t="str">
        <f>IF(ISERROR(Grafik!M139),"",Grafik!M139)</f>
        <v/>
      </c>
      <c r="T103" s="33" t="str">
        <f>IF(ISERROR(Grafik!N139),"",Grafik!N139)</f>
        <v/>
      </c>
      <c r="U103" s="33" t="str">
        <f>IF(ISERROR(Grafik!O139),"",Grafik!O139)</f>
        <v/>
      </c>
      <c r="V103" s="33" t="str">
        <f>IF(ISERROR(Grafik!P139),"",Grafik!P139)</f>
        <v/>
      </c>
      <c r="W103" s="66"/>
      <c r="X103" s="31"/>
      <c r="Y103" s="31"/>
      <c r="Z103" s="31"/>
    </row>
    <row r="104" spans="1:26" ht="19.5" customHeight="1">
      <c r="A104" s="25"/>
      <c r="B104" s="59"/>
      <c r="C104" s="61" t="str">
        <f>IF(B104="","",DATEDIF(Person!$C$22,B104,"y"))</f>
        <v/>
      </c>
      <c r="D104" s="25"/>
      <c r="E104" s="62"/>
      <c r="F104" s="63"/>
      <c r="G104" s="64" t="str">
        <f>IF(F104="","",IF(E104="","",IF(W104="","",F104*(100%-H104/100))))</f>
        <v/>
      </c>
      <c r="H104" s="64" t="str">
        <f>IF(F104="","",IF(E104="","",IF(W104="","",$O$10*(($K$9*F104^$K$10)*($L$9*E104^$L$10)*(ABS(W104-(($J$8*E104^$J$9)*F104^$J$10+$J$7)))^$M$10)+$P$10)))</f>
        <v/>
      </c>
      <c r="I104" s="29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65" t="str">
        <f>IF(J104="","",SUM(J104:S104))</f>
        <v/>
      </c>
      <c r="X104" s="25"/>
      <c r="Y104" s="25"/>
      <c r="Z104" s="25"/>
    </row>
    <row r="105" spans="1:26" ht="19.5" customHeight="1">
      <c r="A105" s="31"/>
      <c r="B105" s="60"/>
      <c r="C105" s="60"/>
      <c r="D105" s="31"/>
      <c r="E105" s="60"/>
      <c r="F105" s="60"/>
      <c r="G105" s="60"/>
      <c r="H105" s="60"/>
      <c r="I105" s="31"/>
      <c r="J105" s="33" t="str">
        <f>IF(ISERROR(Grafik!D141),"",Grafik!D141)</f>
        <v/>
      </c>
      <c r="K105" s="33" t="str">
        <f>IF(ISERROR(Grafik!E141),"",Grafik!E141)</f>
        <v/>
      </c>
      <c r="L105" s="33" t="str">
        <f>IF(ISERROR(Grafik!F141),"",Grafik!F141)</f>
        <v/>
      </c>
      <c r="M105" s="33" t="str">
        <f>IF(ISERROR(Grafik!G141),"",Grafik!G141)</f>
        <v/>
      </c>
      <c r="N105" s="33" t="str">
        <f>IF(ISERROR(Grafik!H141),"",Grafik!H141)</f>
        <v/>
      </c>
      <c r="O105" s="33" t="str">
        <f>IF(ISERROR(Grafik!I141),"",Grafik!I141)</f>
        <v/>
      </c>
      <c r="P105" s="33" t="str">
        <f>IF(ISERROR(Grafik!J141),"",Grafik!J141)</f>
        <v/>
      </c>
      <c r="Q105" s="33" t="str">
        <f>IF(ISERROR(Grafik!K141),"",Grafik!K141)</f>
        <v/>
      </c>
      <c r="R105" s="33" t="str">
        <f>IF(ISERROR(Grafik!L141),"",Grafik!L141)</f>
        <v/>
      </c>
      <c r="S105" s="33" t="str">
        <f>IF(ISERROR(Grafik!M141),"",Grafik!M141)</f>
        <v/>
      </c>
      <c r="T105" s="33" t="str">
        <f>IF(ISERROR(Grafik!N141),"",Grafik!N141)</f>
        <v/>
      </c>
      <c r="U105" s="33" t="str">
        <f>IF(ISERROR(Grafik!O141),"",Grafik!O141)</f>
        <v/>
      </c>
      <c r="V105" s="33" t="str">
        <f>IF(ISERROR(Grafik!P141),"",Grafik!P141)</f>
        <v/>
      </c>
      <c r="W105" s="66"/>
      <c r="X105" s="31"/>
      <c r="Y105" s="31"/>
      <c r="Z105" s="31"/>
    </row>
    <row r="106" spans="1:26" ht="19.5" customHeight="1">
      <c r="A106" s="25"/>
      <c r="B106" s="59"/>
      <c r="C106" s="61" t="str">
        <f>IF(B106="","",DATEDIF(Person!$C$22,B106,"y"))</f>
        <v/>
      </c>
      <c r="D106" s="25"/>
      <c r="E106" s="62"/>
      <c r="F106" s="63"/>
      <c r="G106" s="64" t="str">
        <f>IF(F106="","",IF(E106="","",IF(W106="","",F106*(100%-H106/100))))</f>
        <v/>
      </c>
      <c r="H106" s="64" t="str">
        <f>IF(F106="","",IF(E106="","",IF(W106="","",$O$10*(($K$9*F106^$K$10)*($L$9*E106^$L$10)*(ABS(W106-(($J$8*E106^$J$9)*F106^$J$10+$J$7)))^$M$10)+$P$10)))</f>
        <v/>
      </c>
      <c r="I106" s="29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65" t="str">
        <f>IF(J106="","",SUM(J106:S106))</f>
        <v/>
      </c>
      <c r="X106" s="25"/>
      <c r="Y106" s="25"/>
      <c r="Z106" s="25"/>
    </row>
    <row r="107" spans="1:26" ht="19.5" customHeight="1">
      <c r="A107" s="31"/>
      <c r="B107" s="60"/>
      <c r="C107" s="60"/>
      <c r="D107" s="31"/>
      <c r="E107" s="60"/>
      <c r="F107" s="60"/>
      <c r="G107" s="60"/>
      <c r="H107" s="60"/>
      <c r="I107" s="31"/>
      <c r="J107" s="33" t="str">
        <f>IF(ISERROR(Grafik!D143),"",Grafik!D143)</f>
        <v/>
      </c>
      <c r="K107" s="33" t="str">
        <f>IF(ISERROR(Grafik!E143),"",Grafik!E143)</f>
        <v/>
      </c>
      <c r="L107" s="33" t="str">
        <f>IF(ISERROR(Grafik!F143),"",Grafik!F143)</f>
        <v/>
      </c>
      <c r="M107" s="33" t="str">
        <f>IF(ISERROR(Grafik!G143),"",Grafik!G143)</f>
        <v/>
      </c>
      <c r="N107" s="33" t="str">
        <f>IF(ISERROR(Grafik!H143),"",Grafik!H143)</f>
        <v/>
      </c>
      <c r="O107" s="33" t="str">
        <f>IF(ISERROR(Grafik!I143),"",Grafik!I143)</f>
        <v/>
      </c>
      <c r="P107" s="33" t="str">
        <f>IF(ISERROR(Grafik!J143),"",Grafik!J143)</f>
        <v/>
      </c>
      <c r="Q107" s="33" t="str">
        <f>IF(ISERROR(Grafik!K143),"",Grafik!K143)</f>
        <v/>
      </c>
      <c r="R107" s="33" t="str">
        <f>IF(ISERROR(Grafik!L143),"",Grafik!L143)</f>
        <v/>
      </c>
      <c r="S107" s="33" t="str">
        <f>IF(ISERROR(Grafik!M143),"",Grafik!M143)</f>
        <v/>
      </c>
      <c r="T107" s="33" t="str">
        <f>IF(ISERROR(Grafik!N143),"",Grafik!N143)</f>
        <v/>
      </c>
      <c r="U107" s="33" t="str">
        <f>IF(ISERROR(Grafik!O143),"",Grafik!O143)</f>
        <v/>
      </c>
      <c r="V107" s="33" t="str">
        <f>IF(ISERROR(Grafik!P143),"",Grafik!P143)</f>
        <v/>
      </c>
      <c r="W107" s="66"/>
      <c r="X107" s="31"/>
      <c r="Y107" s="31"/>
      <c r="Z107" s="31"/>
    </row>
    <row r="108" spans="1:26" ht="19.5" customHeight="1">
      <c r="A108" s="25"/>
      <c r="B108" s="59"/>
      <c r="C108" s="61" t="str">
        <f>IF(B108="","",DATEDIF(Person!$C$22,B108,"y"))</f>
        <v/>
      </c>
      <c r="D108" s="25"/>
      <c r="E108" s="62"/>
      <c r="F108" s="63"/>
      <c r="G108" s="64" t="str">
        <f>IF(F108="","",IF(E108="","",IF(W108="","",F108*(100%-H108/100))))</f>
        <v/>
      </c>
      <c r="H108" s="64" t="str">
        <f>IF(F108="","",IF(E108="","",IF(W108="","",$O$10*(($K$9*F108^$K$10)*($L$9*E108^$L$10)*(ABS(W108-(($J$8*E108^$J$9)*F108^$J$10+$J$7)))^$M$10)+$P$10)))</f>
        <v/>
      </c>
      <c r="I108" s="29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65" t="str">
        <f>IF(J108="","",SUM(J108:S108))</f>
        <v/>
      </c>
      <c r="X108" s="25"/>
      <c r="Y108" s="25"/>
      <c r="Z108" s="25"/>
    </row>
    <row r="109" spans="1:26" ht="19.5" customHeight="1">
      <c r="A109" s="31"/>
      <c r="B109" s="60"/>
      <c r="C109" s="60"/>
      <c r="D109" s="31"/>
      <c r="E109" s="60"/>
      <c r="F109" s="60"/>
      <c r="G109" s="60"/>
      <c r="H109" s="60"/>
      <c r="I109" s="31"/>
      <c r="J109" s="33" t="str">
        <f>IF(ISERROR(Grafik!D145),"",Grafik!D145)</f>
        <v/>
      </c>
      <c r="K109" s="33" t="str">
        <f>IF(ISERROR(Grafik!E145),"",Grafik!E145)</f>
        <v/>
      </c>
      <c r="L109" s="33" t="str">
        <f>IF(ISERROR(Grafik!F145),"",Grafik!F145)</f>
        <v/>
      </c>
      <c r="M109" s="33" t="str">
        <f>IF(ISERROR(Grafik!G145),"",Grafik!G145)</f>
        <v/>
      </c>
      <c r="N109" s="33" t="str">
        <f>IF(ISERROR(Grafik!H145),"",Grafik!H145)</f>
        <v/>
      </c>
      <c r="O109" s="33" t="str">
        <f>IF(ISERROR(Grafik!I145),"",Grafik!I145)</f>
        <v/>
      </c>
      <c r="P109" s="33" t="str">
        <f>IF(ISERROR(Grafik!J145),"",Grafik!J145)</f>
        <v/>
      </c>
      <c r="Q109" s="33" t="str">
        <f>IF(ISERROR(Grafik!K145),"",Grafik!K145)</f>
        <v/>
      </c>
      <c r="R109" s="33" t="str">
        <f>IF(ISERROR(Grafik!L145),"",Grafik!L145)</f>
        <v/>
      </c>
      <c r="S109" s="33" t="str">
        <f>IF(ISERROR(Grafik!M145),"",Grafik!M145)</f>
        <v/>
      </c>
      <c r="T109" s="33" t="str">
        <f>IF(ISERROR(Grafik!N145),"",Grafik!N145)</f>
        <v/>
      </c>
      <c r="U109" s="33" t="str">
        <f>IF(ISERROR(Grafik!O145),"",Grafik!O145)</f>
        <v/>
      </c>
      <c r="V109" s="33" t="str">
        <f>IF(ISERROR(Grafik!P145),"",Grafik!P145)</f>
        <v/>
      </c>
      <c r="W109" s="66"/>
      <c r="X109" s="31"/>
      <c r="Y109" s="31"/>
      <c r="Z109" s="31"/>
    </row>
    <row r="110" spans="1:26" ht="19.5" customHeight="1">
      <c r="A110" s="25"/>
      <c r="B110" s="59"/>
      <c r="C110" s="61" t="str">
        <f>IF(B110="","",DATEDIF(Person!$C$22,B110,"y"))</f>
        <v/>
      </c>
      <c r="D110" s="25"/>
      <c r="E110" s="62"/>
      <c r="F110" s="63"/>
      <c r="G110" s="64" t="str">
        <f>IF(F110="","",IF(E110="","",IF(W110="","",F110*(100%-H110/100))))</f>
        <v/>
      </c>
      <c r="H110" s="64" t="str">
        <f>IF(F110="","",IF(E110="","",IF(W110="","",$O$10*(($K$9*F110^$K$10)*($L$9*E110^$L$10)*(ABS(W110-(($J$8*E110^$J$9)*F110^$J$10+$J$7)))^$M$10)+$P$10)))</f>
        <v/>
      </c>
      <c r="I110" s="29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65" t="str">
        <f>IF(J110="","",SUM(J110:S110))</f>
        <v/>
      </c>
      <c r="X110" s="25"/>
      <c r="Y110" s="25"/>
      <c r="Z110" s="25"/>
    </row>
    <row r="111" spans="1:26" ht="19.5" customHeight="1">
      <c r="A111" s="31"/>
      <c r="B111" s="60"/>
      <c r="C111" s="60"/>
      <c r="D111" s="31"/>
      <c r="E111" s="60"/>
      <c r="F111" s="60"/>
      <c r="G111" s="60"/>
      <c r="H111" s="60"/>
      <c r="I111" s="31"/>
      <c r="J111" s="33" t="str">
        <f>IF(ISERROR(Grafik!D147),"",Grafik!D147)</f>
        <v/>
      </c>
      <c r="K111" s="33" t="str">
        <f>IF(ISERROR(Grafik!E147),"",Grafik!E147)</f>
        <v/>
      </c>
      <c r="L111" s="33" t="str">
        <f>IF(ISERROR(Grafik!F147),"",Grafik!F147)</f>
        <v/>
      </c>
      <c r="M111" s="33" t="str">
        <f>IF(ISERROR(Grafik!G147),"",Grafik!G147)</f>
        <v/>
      </c>
      <c r="N111" s="33" t="str">
        <f>IF(ISERROR(Grafik!H147),"",Grafik!H147)</f>
        <v/>
      </c>
      <c r="O111" s="33" t="str">
        <f>IF(ISERROR(Grafik!I147),"",Grafik!I147)</f>
        <v/>
      </c>
      <c r="P111" s="33" t="str">
        <f>IF(ISERROR(Grafik!J147),"",Grafik!J147)</f>
        <v/>
      </c>
      <c r="Q111" s="33" t="str">
        <f>IF(ISERROR(Grafik!K147),"",Grafik!K147)</f>
        <v/>
      </c>
      <c r="R111" s="33" t="str">
        <f>IF(ISERROR(Grafik!L147),"",Grafik!L147)</f>
        <v/>
      </c>
      <c r="S111" s="33" t="str">
        <f>IF(ISERROR(Grafik!M147),"",Grafik!M147)</f>
        <v/>
      </c>
      <c r="T111" s="33" t="str">
        <f>IF(ISERROR(Grafik!N147),"",Grafik!N147)</f>
        <v/>
      </c>
      <c r="U111" s="33" t="str">
        <f>IF(ISERROR(Grafik!O147),"",Grafik!O147)</f>
        <v/>
      </c>
      <c r="V111" s="33" t="str">
        <f>IF(ISERROR(Grafik!P147),"",Grafik!P147)</f>
        <v/>
      </c>
      <c r="W111" s="66"/>
      <c r="X111" s="31"/>
      <c r="Y111" s="31"/>
      <c r="Z111" s="31"/>
    </row>
    <row r="112" spans="1:26" ht="19.5" customHeight="1">
      <c r="A112" s="25"/>
      <c r="B112" s="59"/>
      <c r="C112" s="61" t="str">
        <f>IF(B112="","",DATEDIF(Person!$C$22,B112,"y"))</f>
        <v/>
      </c>
      <c r="D112" s="25"/>
      <c r="E112" s="62"/>
      <c r="F112" s="63"/>
      <c r="G112" s="64" t="str">
        <f>IF(F112="","",IF(E112="","",IF(W112="","",F112*(100%-H112/100))))</f>
        <v/>
      </c>
      <c r="H112" s="64" t="str">
        <f>IF(F112="","",IF(E112="","",IF(W112="","",$O$10*(($K$9*F112^$K$10)*($L$9*E112^$L$10)*(ABS(W112-(($J$8*E112^$J$9)*F112^$J$10+$J$7)))^$M$10)+$P$10)))</f>
        <v/>
      </c>
      <c r="I112" s="29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65" t="str">
        <f>IF(J112="","",SUM(J112:S112))</f>
        <v/>
      </c>
      <c r="X112" s="25"/>
      <c r="Y112" s="25"/>
      <c r="Z112" s="25"/>
    </row>
    <row r="113" spans="1:26" ht="19.5" customHeight="1">
      <c r="A113" s="31"/>
      <c r="B113" s="60"/>
      <c r="C113" s="60"/>
      <c r="D113" s="31"/>
      <c r="E113" s="60"/>
      <c r="F113" s="60"/>
      <c r="G113" s="60"/>
      <c r="H113" s="60"/>
      <c r="I113" s="31"/>
      <c r="J113" s="33" t="str">
        <f>IF(ISERROR(Grafik!D149),"",Grafik!D149)</f>
        <v/>
      </c>
      <c r="K113" s="33" t="str">
        <f>IF(ISERROR(Grafik!E149),"",Grafik!E149)</f>
        <v/>
      </c>
      <c r="L113" s="33" t="str">
        <f>IF(ISERROR(Grafik!F149),"",Grafik!F149)</f>
        <v/>
      </c>
      <c r="M113" s="33" t="str">
        <f>IF(ISERROR(Grafik!G149),"",Grafik!G149)</f>
        <v/>
      </c>
      <c r="N113" s="33" t="str">
        <f>IF(ISERROR(Grafik!H149),"",Grafik!H149)</f>
        <v/>
      </c>
      <c r="O113" s="33" t="str">
        <f>IF(ISERROR(Grafik!I149),"",Grafik!I149)</f>
        <v/>
      </c>
      <c r="P113" s="33" t="str">
        <f>IF(ISERROR(Grafik!J149),"",Grafik!J149)</f>
        <v/>
      </c>
      <c r="Q113" s="33" t="str">
        <f>IF(ISERROR(Grafik!K149),"",Grafik!K149)</f>
        <v/>
      </c>
      <c r="R113" s="33" t="str">
        <f>IF(ISERROR(Grafik!L149),"",Grafik!L149)</f>
        <v/>
      </c>
      <c r="S113" s="33" t="str">
        <f>IF(ISERROR(Grafik!M149),"",Grafik!M149)</f>
        <v/>
      </c>
      <c r="T113" s="33" t="str">
        <f>IF(ISERROR(Grafik!N149),"",Grafik!N149)</f>
        <v/>
      </c>
      <c r="U113" s="33" t="str">
        <f>IF(ISERROR(Grafik!O149),"",Grafik!O149)</f>
        <v/>
      </c>
      <c r="V113" s="33" t="str">
        <f>IF(ISERROR(Grafik!P149),"",Grafik!P149)</f>
        <v/>
      </c>
      <c r="W113" s="66"/>
      <c r="X113" s="31"/>
      <c r="Y113" s="31"/>
      <c r="Z113" s="31"/>
    </row>
    <row r="114" spans="1:26" ht="19.5" customHeight="1">
      <c r="A114" s="25"/>
      <c r="B114" s="59"/>
      <c r="C114" s="61" t="str">
        <f>IF(B114="","",DATEDIF(Person!$C$22,B114,"y"))</f>
        <v/>
      </c>
      <c r="D114" s="25"/>
      <c r="E114" s="62"/>
      <c r="F114" s="63"/>
      <c r="G114" s="64" t="str">
        <f>IF(F114="","",IF(E114="","",IF(W114="","",F114*(100%-H114/100))))</f>
        <v/>
      </c>
      <c r="H114" s="64" t="str">
        <f>IF(F114="","",IF(E114="","",IF(W114="","",$O$10*(($K$9*F114^$K$10)*($L$9*E114^$L$10)*(ABS(W114-(($J$8*E114^$J$9)*F114^$J$10+$J$7)))^$M$10)+$P$10)))</f>
        <v/>
      </c>
      <c r="I114" s="29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65" t="str">
        <f>IF(J114="","",SUM(J114:S114))</f>
        <v/>
      </c>
      <c r="X114" s="25"/>
      <c r="Y114" s="25"/>
      <c r="Z114" s="25"/>
    </row>
    <row r="115" spans="1:26" ht="19.5" customHeight="1">
      <c r="A115" s="31"/>
      <c r="B115" s="60"/>
      <c r="C115" s="60"/>
      <c r="D115" s="31"/>
      <c r="E115" s="60"/>
      <c r="F115" s="60"/>
      <c r="G115" s="60"/>
      <c r="H115" s="60"/>
      <c r="I115" s="31"/>
      <c r="J115" s="33" t="str">
        <f>IF(ISERROR(Grafik!D151),"",Grafik!D151)</f>
        <v/>
      </c>
      <c r="K115" s="33" t="str">
        <f>IF(ISERROR(Grafik!E151),"",Grafik!E151)</f>
        <v/>
      </c>
      <c r="L115" s="33" t="str">
        <f>IF(ISERROR(Grafik!F151),"",Grafik!F151)</f>
        <v/>
      </c>
      <c r="M115" s="33" t="str">
        <f>IF(ISERROR(Grafik!G151),"",Grafik!G151)</f>
        <v/>
      </c>
      <c r="N115" s="33" t="str">
        <f>IF(ISERROR(Grafik!H151),"",Grafik!H151)</f>
        <v/>
      </c>
      <c r="O115" s="33" t="str">
        <f>IF(ISERROR(Grafik!I151),"",Grafik!I151)</f>
        <v/>
      </c>
      <c r="P115" s="33" t="str">
        <f>IF(ISERROR(Grafik!J151),"",Grafik!J151)</f>
        <v/>
      </c>
      <c r="Q115" s="33" t="str">
        <f>IF(ISERROR(Grafik!K151),"",Grafik!K151)</f>
        <v/>
      </c>
      <c r="R115" s="33" t="str">
        <f>IF(ISERROR(Grafik!L151),"",Grafik!L151)</f>
        <v/>
      </c>
      <c r="S115" s="33" t="str">
        <f>IF(ISERROR(Grafik!M151),"",Grafik!M151)</f>
        <v/>
      </c>
      <c r="T115" s="33" t="str">
        <f>IF(ISERROR(Grafik!N151),"",Grafik!N151)</f>
        <v/>
      </c>
      <c r="U115" s="33" t="str">
        <f>IF(ISERROR(Grafik!O151),"",Grafik!O151)</f>
        <v/>
      </c>
      <c r="V115" s="33" t="str">
        <f>IF(ISERROR(Grafik!P151),"",Grafik!P151)</f>
        <v/>
      </c>
      <c r="W115" s="66"/>
      <c r="X115" s="31"/>
      <c r="Y115" s="31"/>
      <c r="Z115" s="31"/>
    </row>
    <row r="116" spans="1:26" ht="19.5" customHeight="1">
      <c r="A116" s="25"/>
      <c r="B116" s="59"/>
      <c r="C116" s="61" t="str">
        <f>IF(B116="","",DATEDIF(Person!$C$22,B116,"y"))</f>
        <v/>
      </c>
      <c r="D116" s="25"/>
      <c r="E116" s="62"/>
      <c r="F116" s="63"/>
      <c r="G116" s="64" t="str">
        <f>IF(F116="","",IF(E116="","",IF(W116="","",F116*(100%-H116/100))))</f>
        <v/>
      </c>
      <c r="H116" s="64" t="str">
        <f>IF(F116="","",IF(E116="","",IF(W116="","",$O$10*(($K$9*F116^$K$10)*($L$9*E116^$L$10)*(ABS(W116-(($J$8*E116^$J$9)*F116^$J$10+$J$7)))^$M$10)+$P$10)))</f>
        <v/>
      </c>
      <c r="I116" s="29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65" t="str">
        <f>IF(J116="","",SUM(J116:S116))</f>
        <v/>
      </c>
      <c r="X116" s="25"/>
      <c r="Y116" s="25"/>
      <c r="Z116" s="25"/>
    </row>
    <row r="117" spans="1:26" ht="19.5" customHeight="1">
      <c r="A117" s="31"/>
      <c r="B117" s="60"/>
      <c r="C117" s="60"/>
      <c r="D117" s="31"/>
      <c r="E117" s="60"/>
      <c r="F117" s="60"/>
      <c r="G117" s="60"/>
      <c r="H117" s="60"/>
      <c r="I117" s="31"/>
      <c r="J117" s="33" t="str">
        <f>IF(ISERROR(Grafik!D153),"",Grafik!D153)</f>
        <v/>
      </c>
      <c r="K117" s="33" t="str">
        <f>IF(ISERROR(Grafik!E153),"",Grafik!E153)</f>
        <v/>
      </c>
      <c r="L117" s="33" t="str">
        <f>IF(ISERROR(Grafik!F153),"",Grafik!F153)</f>
        <v/>
      </c>
      <c r="M117" s="33" t="str">
        <f>IF(ISERROR(Grafik!G153),"",Grafik!G153)</f>
        <v/>
      </c>
      <c r="N117" s="33" t="str">
        <f>IF(ISERROR(Grafik!H153),"",Grafik!H153)</f>
        <v/>
      </c>
      <c r="O117" s="33" t="str">
        <f>IF(ISERROR(Grafik!I153),"",Grafik!I153)</f>
        <v/>
      </c>
      <c r="P117" s="33" t="str">
        <f>IF(ISERROR(Grafik!J153),"",Grafik!J153)</f>
        <v/>
      </c>
      <c r="Q117" s="33" t="str">
        <f>IF(ISERROR(Grafik!K153),"",Grafik!K153)</f>
        <v/>
      </c>
      <c r="R117" s="33" t="str">
        <f>IF(ISERROR(Grafik!L153),"",Grafik!L153)</f>
        <v/>
      </c>
      <c r="S117" s="33" t="str">
        <f>IF(ISERROR(Grafik!M153),"",Grafik!M153)</f>
        <v/>
      </c>
      <c r="T117" s="33" t="str">
        <f>IF(ISERROR(Grafik!N153),"",Grafik!N153)</f>
        <v/>
      </c>
      <c r="U117" s="33" t="str">
        <f>IF(ISERROR(Grafik!O153),"",Grafik!O153)</f>
        <v/>
      </c>
      <c r="V117" s="33" t="str">
        <f>IF(ISERROR(Grafik!P153),"",Grafik!P153)</f>
        <v/>
      </c>
      <c r="W117" s="66"/>
      <c r="X117" s="31"/>
      <c r="Y117" s="31"/>
      <c r="Z117" s="31"/>
    </row>
    <row r="118" spans="1:26" ht="19.5" customHeight="1">
      <c r="A118" s="25"/>
      <c r="B118" s="59"/>
      <c r="C118" s="61" t="str">
        <f>IF(B118="","",DATEDIF(Person!$C$22,B118,"y"))</f>
        <v/>
      </c>
      <c r="D118" s="25"/>
      <c r="E118" s="62"/>
      <c r="F118" s="63"/>
      <c r="G118" s="64" t="str">
        <f>IF(F118="","",IF(E118="","",IF(W118="","",F118*(100%-H118/100))))</f>
        <v/>
      </c>
      <c r="H118" s="64" t="str">
        <f>IF(F118="","",IF(E118="","",IF(W118="","",$O$10*(($K$9*F118^$K$10)*($L$9*E118^$L$10)*(ABS(W118-(($J$8*E118^$J$9)*F118^$J$10+$J$7)))^$M$10)+$P$10)))</f>
        <v/>
      </c>
      <c r="I118" s="29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65" t="str">
        <f>IF(J118="","",SUM(J118:S118))</f>
        <v/>
      </c>
      <c r="X118" s="25"/>
      <c r="Y118" s="25"/>
      <c r="Z118" s="25"/>
    </row>
    <row r="119" spans="1:26" ht="19.5" customHeight="1">
      <c r="A119" s="31"/>
      <c r="B119" s="60"/>
      <c r="C119" s="60"/>
      <c r="D119" s="31"/>
      <c r="E119" s="60"/>
      <c r="F119" s="60"/>
      <c r="G119" s="60"/>
      <c r="H119" s="60"/>
      <c r="I119" s="31"/>
      <c r="J119" s="33" t="str">
        <f>IF(ISERROR(Grafik!D155),"",Grafik!D155)</f>
        <v/>
      </c>
      <c r="K119" s="33" t="str">
        <f>IF(ISERROR(Grafik!E155),"",Grafik!E155)</f>
        <v/>
      </c>
      <c r="L119" s="33" t="str">
        <f>IF(ISERROR(Grafik!F155),"",Grafik!F155)</f>
        <v/>
      </c>
      <c r="M119" s="33" t="str">
        <f>IF(ISERROR(Grafik!G155),"",Grafik!G155)</f>
        <v/>
      </c>
      <c r="N119" s="33" t="str">
        <f>IF(ISERROR(Grafik!H155),"",Grafik!H155)</f>
        <v/>
      </c>
      <c r="O119" s="33" t="str">
        <f>IF(ISERROR(Grafik!I155),"",Grafik!I155)</f>
        <v/>
      </c>
      <c r="P119" s="33" t="str">
        <f>IF(ISERROR(Grafik!J155),"",Grafik!J155)</f>
        <v/>
      </c>
      <c r="Q119" s="33" t="str">
        <f>IF(ISERROR(Grafik!K155),"",Grafik!K155)</f>
        <v/>
      </c>
      <c r="R119" s="33" t="str">
        <f>IF(ISERROR(Grafik!L155),"",Grafik!L155)</f>
        <v/>
      </c>
      <c r="S119" s="33" t="str">
        <f>IF(ISERROR(Grafik!M155),"",Grafik!M155)</f>
        <v/>
      </c>
      <c r="T119" s="33" t="str">
        <f>IF(ISERROR(Grafik!N155),"",Grafik!N155)</f>
        <v/>
      </c>
      <c r="U119" s="33" t="str">
        <f>IF(ISERROR(Grafik!O155),"",Grafik!O155)</f>
        <v/>
      </c>
      <c r="V119" s="33" t="str">
        <f>IF(ISERROR(Grafik!P155),"",Grafik!P155)</f>
        <v/>
      </c>
      <c r="W119" s="66"/>
      <c r="X119" s="31"/>
      <c r="Y119" s="31"/>
      <c r="Z119" s="31"/>
    </row>
    <row r="120" spans="1:26" ht="19.5" customHeight="1">
      <c r="A120" s="25"/>
      <c r="B120" s="59"/>
      <c r="C120" s="61" t="str">
        <f>IF(B120="","",DATEDIF(Person!$C$22,B120,"y"))</f>
        <v/>
      </c>
      <c r="D120" s="25"/>
      <c r="E120" s="62"/>
      <c r="F120" s="63"/>
      <c r="G120" s="64" t="str">
        <f>IF(F120="","",IF(E120="","",IF(W120="","",F120*(100%-H120/100))))</f>
        <v/>
      </c>
      <c r="H120" s="64" t="str">
        <f>IF(F120="","",IF(E120="","",IF(W120="","",$O$10*(($K$9*F120^$K$10)*($L$9*E120^$L$10)*(ABS(W120-(($J$8*E120^$J$9)*F120^$J$10+$J$7)))^$M$10)+$P$10)))</f>
        <v/>
      </c>
      <c r="I120" s="29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65" t="str">
        <f>IF(J120="","",SUM(J120:S120))</f>
        <v/>
      </c>
      <c r="X120" s="25"/>
      <c r="Y120" s="25"/>
      <c r="Z120" s="25"/>
    </row>
    <row r="121" spans="1:26" ht="19.5" customHeight="1">
      <c r="A121" s="31"/>
      <c r="B121" s="60"/>
      <c r="C121" s="60"/>
      <c r="D121" s="31"/>
      <c r="E121" s="60"/>
      <c r="F121" s="60"/>
      <c r="G121" s="60"/>
      <c r="H121" s="60"/>
      <c r="I121" s="31"/>
      <c r="J121" s="33" t="str">
        <f>IF(ISERROR(Grafik!D157),"",Grafik!D157)</f>
        <v/>
      </c>
      <c r="K121" s="33" t="str">
        <f>IF(ISERROR(Grafik!E157),"",Grafik!E157)</f>
        <v/>
      </c>
      <c r="L121" s="33" t="str">
        <f>IF(ISERROR(Grafik!F157),"",Grafik!F157)</f>
        <v/>
      </c>
      <c r="M121" s="33" t="str">
        <f>IF(ISERROR(Grafik!G157),"",Grafik!G157)</f>
        <v/>
      </c>
      <c r="N121" s="33" t="str">
        <f>IF(ISERROR(Grafik!H157),"",Grafik!H157)</f>
        <v/>
      </c>
      <c r="O121" s="33" t="str">
        <f>IF(ISERROR(Grafik!I157),"",Grafik!I157)</f>
        <v/>
      </c>
      <c r="P121" s="33" t="str">
        <f>IF(ISERROR(Grafik!J157),"",Grafik!J157)</f>
        <v/>
      </c>
      <c r="Q121" s="33" t="str">
        <f>IF(ISERROR(Grafik!K157),"",Grafik!K157)</f>
        <v/>
      </c>
      <c r="R121" s="33" t="str">
        <f>IF(ISERROR(Grafik!L157),"",Grafik!L157)</f>
        <v/>
      </c>
      <c r="S121" s="33" t="str">
        <f>IF(ISERROR(Grafik!M157),"",Grafik!M157)</f>
        <v/>
      </c>
      <c r="T121" s="33" t="str">
        <f>IF(ISERROR(Grafik!N157),"",Grafik!N157)</f>
        <v/>
      </c>
      <c r="U121" s="33" t="str">
        <f>IF(ISERROR(Grafik!O157),"",Grafik!O157)</f>
        <v/>
      </c>
      <c r="V121" s="33" t="str">
        <f>IF(ISERROR(Grafik!P157),"",Grafik!P157)</f>
        <v/>
      </c>
      <c r="W121" s="66"/>
      <c r="X121" s="31"/>
      <c r="Y121" s="31"/>
      <c r="Z121" s="31"/>
    </row>
    <row r="122" spans="1:26" ht="19.5" customHeight="1">
      <c r="A122" s="25"/>
      <c r="B122" s="59"/>
      <c r="C122" s="61" t="str">
        <f>IF(B122="","",DATEDIF(Person!$C$22,B122,"y"))</f>
        <v/>
      </c>
      <c r="D122" s="25"/>
      <c r="E122" s="62"/>
      <c r="F122" s="63"/>
      <c r="G122" s="64" t="str">
        <f>IF(F122="","",IF(E122="","",IF(W122="","",F122*(100%-H122/100))))</f>
        <v/>
      </c>
      <c r="H122" s="64" t="str">
        <f>IF(F122="","",IF(E122="","",IF(W122="","",$O$10*(($K$9*F122^$K$10)*($L$9*E122^$L$10)*(ABS(W122-(($J$8*E122^$J$9)*F122^$J$10+$J$7)))^$M$10)+$P$10)))</f>
        <v/>
      </c>
      <c r="I122" s="29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65" t="str">
        <f>IF(J122="","",SUM(J122:S122))</f>
        <v/>
      </c>
      <c r="X122" s="25"/>
      <c r="Y122" s="25"/>
      <c r="Z122" s="25"/>
    </row>
    <row r="123" spans="1:26" ht="19.5" customHeight="1">
      <c r="A123" s="31"/>
      <c r="B123" s="60"/>
      <c r="C123" s="60"/>
      <c r="D123" s="31"/>
      <c r="E123" s="60"/>
      <c r="F123" s="60"/>
      <c r="G123" s="60"/>
      <c r="H123" s="60"/>
      <c r="I123" s="31"/>
      <c r="J123" s="33" t="str">
        <f>IF(ISERROR(Grafik!D159),"",Grafik!D159)</f>
        <v/>
      </c>
      <c r="K123" s="33" t="str">
        <f>IF(ISERROR(Grafik!E159),"",Grafik!E159)</f>
        <v/>
      </c>
      <c r="L123" s="33" t="str">
        <f>IF(ISERROR(Grafik!F159),"",Grafik!F159)</f>
        <v/>
      </c>
      <c r="M123" s="33" t="str">
        <f>IF(ISERROR(Grafik!G159),"",Grafik!G159)</f>
        <v/>
      </c>
      <c r="N123" s="33" t="str">
        <f>IF(ISERROR(Grafik!H159),"",Grafik!H159)</f>
        <v/>
      </c>
      <c r="O123" s="33" t="str">
        <f>IF(ISERROR(Grafik!I159),"",Grafik!I159)</f>
        <v/>
      </c>
      <c r="P123" s="33" t="str">
        <f>IF(ISERROR(Grafik!J159),"",Grafik!J159)</f>
        <v/>
      </c>
      <c r="Q123" s="33" t="str">
        <f>IF(ISERROR(Grafik!K159),"",Grafik!K159)</f>
        <v/>
      </c>
      <c r="R123" s="33" t="str">
        <f>IF(ISERROR(Grafik!L159),"",Grafik!L159)</f>
        <v/>
      </c>
      <c r="S123" s="33" t="str">
        <f>IF(ISERROR(Grafik!M159),"",Grafik!M159)</f>
        <v/>
      </c>
      <c r="T123" s="33" t="str">
        <f>IF(ISERROR(Grafik!N159),"",Grafik!N159)</f>
        <v/>
      </c>
      <c r="U123" s="33" t="str">
        <f>IF(ISERROR(Grafik!O159),"",Grafik!O159)</f>
        <v/>
      </c>
      <c r="V123" s="33" t="str">
        <f>IF(ISERROR(Grafik!P159),"",Grafik!P159)</f>
        <v/>
      </c>
      <c r="W123" s="66"/>
      <c r="X123" s="31"/>
      <c r="Y123" s="31"/>
      <c r="Z123" s="31"/>
    </row>
    <row r="124" spans="1:26" ht="19.5" customHeight="1">
      <c r="A124" s="25"/>
      <c r="B124" s="59"/>
      <c r="C124" s="61" t="str">
        <f>IF(B124="","",DATEDIF(Person!$C$22,B124,"y"))</f>
        <v/>
      </c>
      <c r="D124" s="25"/>
      <c r="E124" s="62"/>
      <c r="F124" s="63"/>
      <c r="G124" s="64" t="str">
        <f>IF(F124="","",IF(E124="","",IF(W124="","",F124*(100%-H124/100))))</f>
        <v/>
      </c>
      <c r="H124" s="64" t="str">
        <f>IF(F124="","",IF(E124="","",IF(W124="","",$O$10*(($K$9*F124^$K$10)*($L$9*E124^$L$10)*(ABS(W124-(($J$8*E124^$J$9)*F124^$J$10+$J$7)))^$M$10)+$P$10)))</f>
        <v/>
      </c>
      <c r="I124" s="29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65" t="str">
        <f>IF(J124="","",SUM(J124:S124))</f>
        <v/>
      </c>
      <c r="X124" s="25"/>
      <c r="Y124" s="25"/>
      <c r="Z124" s="25"/>
    </row>
    <row r="125" spans="1:26" ht="19.5" customHeight="1">
      <c r="A125" s="31"/>
      <c r="B125" s="60"/>
      <c r="C125" s="60"/>
      <c r="D125" s="31"/>
      <c r="E125" s="60"/>
      <c r="F125" s="60"/>
      <c r="G125" s="60"/>
      <c r="H125" s="60"/>
      <c r="I125" s="31"/>
      <c r="J125" s="33" t="str">
        <f>IF(ISERROR(Grafik!D161),"",Grafik!D161)</f>
        <v/>
      </c>
      <c r="K125" s="33" t="str">
        <f>IF(ISERROR(Grafik!E161),"",Grafik!E161)</f>
        <v/>
      </c>
      <c r="L125" s="33" t="str">
        <f>IF(ISERROR(Grafik!F161),"",Grafik!F161)</f>
        <v/>
      </c>
      <c r="M125" s="33" t="str">
        <f>IF(ISERROR(Grafik!G161),"",Grafik!G161)</f>
        <v/>
      </c>
      <c r="N125" s="33" t="str">
        <f>IF(ISERROR(Grafik!H161),"",Grafik!H161)</f>
        <v/>
      </c>
      <c r="O125" s="33" t="str">
        <f>IF(ISERROR(Grafik!I161),"",Grafik!I161)</f>
        <v/>
      </c>
      <c r="P125" s="33" t="str">
        <f>IF(ISERROR(Grafik!J161),"",Grafik!J161)</f>
        <v/>
      </c>
      <c r="Q125" s="33" t="str">
        <f>IF(ISERROR(Grafik!K161),"",Grafik!K161)</f>
        <v/>
      </c>
      <c r="R125" s="33" t="str">
        <f>IF(ISERROR(Grafik!L161),"",Grafik!L161)</f>
        <v/>
      </c>
      <c r="S125" s="33" t="str">
        <f>IF(ISERROR(Grafik!M161),"",Grafik!M161)</f>
        <v/>
      </c>
      <c r="T125" s="33" t="str">
        <f>IF(ISERROR(Grafik!N161),"",Grafik!N161)</f>
        <v/>
      </c>
      <c r="U125" s="33" t="str">
        <f>IF(ISERROR(Grafik!O161),"",Grafik!O161)</f>
        <v/>
      </c>
      <c r="V125" s="33" t="str">
        <f>IF(ISERROR(Grafik!P161),"",Grafik!P161)</f>
        <v/>
      </c>
      <c r="W125" s="66"/>
      <c r="X125" s="31"/>
      <c r="Y125" s="31"/>
      <c r="Z125" s="31"/>
    </row>
    <row r="126" spans="1:26" ht="19.5" customHeight="1">
      <c r="A126" s="25"/>
      <c r="B126" s="59"/>
      <c r="C126" s="61" t="str">
        <f>IF(B126="","",DATEDIF(Person!$C$22,B126,"y"))</f>
        <v/>
      </c>
      <c r="D126" s="25"/>
      <c r="E126" s="62"/>
      <c r="F126" s="63"/>
      <c r="G126" s="64" t="str">
        <f>IF(F126="","",IF(E126="","",IF(W126="","",F126*(100%-H126/100))))</f>
        <v/>
      </c>
      <c r="H126" s="64" t="str">
        <f>IF(F126="","",IF(E126="","",IF(W126="","",$O$10*(($K$9*F126^$K$10)*($L$9*E126^$L$10)*(ABS(W126-(($J$8*E126^$J$9)*F126^$J$10+$J$7)))^$M$10)+$P$10)))</f>
        <v/>
      </c>
      <c r="I126" s="29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65" t="str">
        <f>IF(J126="","",SUM(J126:S126))</f>
        <v/>
      </c>
      <c r="X126" s="25"/>
      <c r="Y126" s="25"/>
      <c r="Z126" s="25"/>
    </row>
    <row r="127" spans="1:26" ht="19.5" customHeight="1">
      <c r="A127" s="31"/>
      <c r="B127" s="60"/>
      <c r="C127" s="60"/>
      <c r="D127" s="31"/>
      <c r="E127" s="60"/>
      <c r="F127" s="60"/>
      <c r="G127" s="60"/>
      <c r="H127" s="60"/>
      <c r="I127" s="31"/>
      <c r="J127" s="33" t="str">
        <f>IF(ISERROR(Grafik!D163),"",Grafik!D163)</f>
        <v/>
      </c>
      <c r="K127" s="33" t="str">
        <f>IF(ISERROR(Grafik!E163),"",Grafik!E163)</f>
        <v/>
      </c>
      <c r="L127" s="33" t="str">
        <f>IF(ISERROR(Grafik!F163),"",Grafik!F163)</f>
        <v/>
      </c>
      <c r="M127" s="33" t="str">
        <f>IF(ISERROR(Grafik!G163),"",Grafik!G163)</f>
        <v/>
      </c>
      <c r="N127" s="33" t="str">
        <f>IF(ISERROR(Grafik!H163),"",Grafik!H163)</f>
        <v/>
      </c>
      <c r="O127" s="33" t="str">
        <f>IF(ISERROR(Grafik!I163),"",Grafik!I163)</f>
        <v/>
      </c>
      <c r="P127" s="33" t="str">
        <f>IF(ISERROR(Grafik!J163),"",Grafik!J163)</f>
        <v/>
      </c>
      <c r="Q127" s="33" t="str">
        <f>IF(ISERROR(Grafik!K163),"",Grafik!K163)</f>
        <v/>
      </c>
      <c r="R127" s="33" t="str">
        <f>IF(ISERROR(Grafik!L163),"",Grafik!L163)</f>
        <v/>
      </c>
      <c r="S127" s="33" t="str">
        <f>IF(ISERROR(Grafik!M163),"",Grafik!M163)</f>
        <v/>
      </c>
      <c r="T127" s="33" t="str">
        <f>IF(ISERROR(Grafik!N163),"",Grafik!N163)</f>
        <v/>
      </c>
      <c r="U127" s="33" t="str">
        <f>IF(ISERROR(Grafik!O163),"",Grafik!O163)</f>
        <v/>
      </c>
      <c r="V127" s="33" t="str">
        <f>IF(ISERROR(Grafik!P163),"",Grafik!P163)</f>
        <v/>
      </c>
      <c r="W127" s="66"/>
      <c r="X127" s="31"/>
      <c r="Y127" s="31"/>
      <c r="Z127" s="31"/>
    </row>
    <row r="128" spans="1:26" ht="19.5" customHeight="1">
      <c r="A128" s="25"/>
      <c r="B128" s="59"/>
      <c r="C128" s="61" t="str">
        <f>IF(B128="","",DATEDIF(Person!$C$22,B128,"y"))</f>
        <v/>
      </c>
      <c r="D128" s="25"/>
      <c r="E128" s="62"/>
      <c r="F128" s="63"/>
      <c r="G128" s="64" t="str">
        <f>IF(F128="","",IF(E128="","",IF(W128="","",F128*(100%-H128/100))))</f>
        <v/>
      </c>
      <c r="H128" s="64" t="str">
        <f>IF(F128="","",IF(E128="","",IF(W128="","",$O$10*(($K$9*F128^$K$10)*($L$9*E128^$L$10)*(ABS(W128-(($J$8*E128^$J$9)*F128^$J$10+$J$7)))^$M$10)+$P$10)))</f>
        <v/>
      </c>
      <c r="I128" s="29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65" t="str">
        <f>IF(J128="","",SUM(J128:S128))</f>
        <v/>
      </c>
      <c r="X128" s="25"/>
      <c r="Y128" s="25"/>
      <c r="Z128" s="25"/>
    </row>
    <row r="129" spans="1:26" ht="19.5" customHeight="1">
      <c r="A129" s="31"/>
      <c r="B129" s="60"/>
      <c r="C129" s="60"/>
      <c r="D129" s="31"/>
      <c r="E129" s="60"/>
      <c r="F129" s="60"/>
      <c r="G129" s="60"/>
      <c r="H129" s="60"/>
      <c r="I129" s="31"/>
      <c r="J129" s="33" t="str">
        <f>IF(ISERROR(Grafik!D165),"",Grafik!D165)</f>
        <v/>
      </c>
      <c r="K129" s="33" t="str">
        <f>IF(ISERROR(Grafik!E165),"",Grafik!E165)</f>
        <v/>
      </c>
      <c r="L129" s="33" t="str">
        <f>IF(ISERROR(Grafik!F165),"",Grafik!F165)</f>
        <v/>
      </c>
      <c r="M129" s="33" t="str">
        <f>IF(ISERROR(Grafik!G165),"",Grafik!G165)</f>
        <v/>
      </c>
      <c r="N129" s="33" t="str">
        <f>IF(ISERROR(Grafik!H165),"",Grafik!H165)</f>
        <v/>
      </c>
      <c r="O129" s="33" t="str">
        <f>IF(ISERROR(Grafik!I165),"",Grafik!I165)</f>
        <v/>
      </c>
      <c r="P129" s="33" t="str">
        <f>IF(ISERROR(Grafik!J165),"",Grafik!J165)</f>
        <v/>
      </c>
      <c r="Q129" s="33" t="str">
        <f>IF(ISERROR(Grafik!K165),"",Grafik!K165)</f>
        <v/>
      </c>
      <c r="R129" s="33" t="str">
        <f>IF(ISERROR(Grafik!L165),"",Grafik!L165)</f>
        <v/>
      </c>
      <c r="S129" s="33" t="str">
        <f>IF(ISERROR(Grafik!M165),"",Grafik!M165)</f>
        <v/>
      </c>
      <c r="T129" s="33" t="str">
        <f>IF(ISERROR(Grafik!N165),"",Grafik!N165)</f>
        <v/>
      </c>
      <c r="U129" s="33" t="str">
        <f>IF(ISERROR(Grafik!O165),"",Grafik!O165)</f>
        <v/>
      </c>
      <c r="V129" s="33" t="str">
        <f>IF(ISERROR(Grafik!P165),"",Grafik!P165)</f>
        <v/>
      </c>
      <c r="W129" s="66"/>
      <c r="X129" s="31"/>
      <c r="Y129" s="31"/>
      <c r="Z129" s="31"/>
    </row>
    <row r="130" spans="1:26" ht="19.5" customHeight="1">
      <c r="A130" s="25"/>
      <c r="B130" s="59"/>
      <c r="C130" s="61" t="str">
        <f>IF(B130="","",DATEDIF(Person!$C$22,B130,"y"))</f>
        <v/>
      </c>
      <c r="D130" s="25"/>
      <c r="E130" s="62"/>
      <c r="F130" s="63"/>
      <c r="G130" s="64" t="str">
        <f>IF(F130="","",IF(E130="","",IF(W130="","",F130*(100%-H130/100))))</f>
        <v/>
      </c>
      <c r="H130" s="64" t="str">
        <f>IF(F130="","",IF(E130="","",IF(W130="","",$O$10*(($K$9*F130^$K$10)*($L$9*E130^$L$10)*(ABS(W130-(($J$8*E130^$J$9)*F130^$J$10+$J$7)))^$M$10)+$P$10)))</f>
        <v/>
      </c>
      <c r="I130" s="29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65" t="str">
        <f>IF(J130="","",SUM(J130:S130))</f>
        <v/>
      </c>
      <c r="X130" s="25"/>
      <c r="Y130" s="25"/>
      <c r="Z130" s="25"/>
    </row>
    <row r="131" spans="1:26" ht="19.5" customHeight="1">
      <c r="A131" s="31"/>
      <c r="B131" s="60"/>
      <c r="C131" s="60"/>
      <c r="D131" s="31"/>
      <c r="E131" s="60"/>
      <c r="F131" s="60"/>
      <c r="G131" s="60"/>
      <c r="H131" s="60"/>
      <c r="I131" s="31"/>
      <c r="J131" s="33" t="str">
        <f>IF(ISERROR(Grafik!D167),"",Grafik!D167)</f>
        <v/>
      </c>
      <c r="K131" s="33" t="str">
        <f>IF(ISERROR(Grafik!E167),"",Grafik!E167)</f>
        <v/>
      </c>
      <c r="L131" s="33" t="str">
        <f>IF(ISERROR(Grafik!F167),"",Grafik!F167)</f>
        <v/>
      </c>
      <c r="M131" s="33" t="str">
        <f>IF(ISERROR(Grafik!G167),"",Grafik!G167)</f>
        <v/>
      </c>
      <c r="N131" s="33" t="str">
        <f>IF(ISERROR(Grafik!H167),"",Grafik!H167)</f>
        <v/>
      </c>
      <c r="O131" s="33" t="str">
        <f>IF(ISERROR(Grafik!I167),"",Grafik!I167)</f>
        <v/>
      </c>
      <c r="P131" s="33" t="str">
        <f>IF(ISERROR(Grafik!J167),"",Grafik!J167)</f>
        <v/>
      </c>
      <c r="Q131" s="33" t="str">
        <f>IF(ISERROR(Grafik!K167),"",Grafik!K167)</f>
        <v/>
      </c>
      <c r="R131" s="33" t="str">
        <f>IF(ISERROR(Grafik!L167),"",Grafik!L167)</f>
        <v/>
      </c>
      <c r="S131" s="33" t="str">
        <f>IF(ISERROR(Grafik!M167),"",Grafik!M167)</f>
        <v/>
      </c>
      <c r="T131" s="33" t="str">
        <f>IF(ISERROR(Grafik!N167),"",Grafik!N167)</f>
        <v/>
      </c>
      <c r="U131" s="33" t="str">
        <f>IF(ISERROR(Grafik!O167),"",Grafik!O167)</f>
        <v/>
      </c>
      <c r="V131" s="33" t="str">
        <f>IF(ISERROR(Grafik!P167),"",Grafik!P167)</f>
        <v/>
      </c>
      <c r="W131" s="66"/>
      <c r="X131" s="31"/>
      <c r="Y131" s="31"/>
      <c r="Z131" s="31"/>
    </row>
    <row r="132" spans="1:26" ht="19.5" customHeight="1">
      <c r="A132" s="25"/>
      <c r="B132" s="59"/>
      <c r="C132" s="61" t="str">
        <f>IF(B132="","",DATEDIF(Person!$C$22,B132,"y"))</f>
        <v/>
      </c>
      <c r="D132" s="25"/>
      <c r="E132" s="62"/>
      <c r="F132" s="63"/>
      <c r="G132" s="64" t="str">
        <f>IF(F132="","",IF(E132="","",IF(W132="","",F132*(100%-H132/100))))</f>
        <v/>
      </c>
      <c r="H132" s="64" t="str">
        <f>IF(F132="","",IF(E132="","",IF(W132="","",$O$10*(($K$9*F132^$K$10)*($L$9*E132^$L$10)*(ABS(W132-(($J$8*E132^$J$9)*F132^$J$10+$J$7)))^$M$10)+$P$10)))</f>
        <v/>
      </c>
      <c r="I132" s="29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65" t="str">
        <f>IF(J132="","",SUM(J132:S132))</f>
        <v/>
      </c>
      <c r="X132" s="25"/>
      <c r="Y132" s="25"/>
      <c r="Z132" s="25"/>
    </row>
    <row r="133" spans="1:26" ht="19.5" customHeight="1">
      <c r="A133" s="31"/>
      <c r="B133" s="60"/>
      <c r="C133" s="60"/>
      <c r="D133" s="31"/>
      <c r="E133" s="60"/>
      <c r="F133" s="60"/>
      <c r="G133" s="60"/>
      <c r="H133" s="60"/>
      <c r="I133" s="31"/>
      <c r="J133" s="33" t="str">
        <f>IF(ISERROR(Grafik!D169),"",Grafik!D169)</f>
        <v/>
      </c>
      <c r="K133" s="33" t="str">
        <f>IF(ISERROR(Grafik!E169),"",Grafik!E169)</f>
        <v/>
      </c>
      <c r="L133" s="33" t="str">
        <f>IF(ISERROR(Grafik!F169),"",Grafik!F169)</f>
        <v/>
      </c>
      <c r="M133" s="33" t="str">
        <f>IF(ISERROR(Grafik!G169),"",Grafik!G169)</f>
        <v/>
      </c>
      <c r="N133" s="33" t="str">
        <f>IF(ISERROR(Grafik!H169),"",Grafik!H169)</f>
        <v/>
      </c>
      <c r="O133" s="33" t="str">
        <f>IF(ISERROR(Grafik!I169),"",Grafik!I169)</f>
        <v/>
      </c>
      <c r="P133" s="33" t="str">
        <f>IF(ISERROR(Grafik!J169),"",Grafik!J169)</f>
        <v/>
      </c>
      <c r="Q133" s="33" t="str">
        <f>IF(ISERROR(Grafik!K169),"",Grafik!K169)</f>
        <v/>
      </c>
      <c r="R133" s="33" t="str">
        <f>IF(ISERROR(Grafik!L169),"",Grafik!L169)</f>
        <v/>
      </c>
      <c r="S133" s="33" t="str">
        <f>IF(ISERROR(Grafik!M169),"",Grafik!M169)</f>
        <v/>
      </c>
      <c r="T133" s="33" t="str">
        <f>IF(ISERROR(Grafik!N169),"",Grafik!N169)</f>
        <v/>
      </c>
      <c r="U133" s="33" t="str">
        <f>IF(ISERROR(Grafik!O169),"",Grafik!O169)</f>
        <v/>
      </c>
      <c r="V133" s="33" t="str">
        <f>IF(ISERROR(Grafik!P169),"",Grafik!P169)</f>
        <v/>
      </c>
      <c r="W133" s="66"/>
      <c r="X133" s="31"/>
      <c r="Y133" s="31"/>
      <c r="Z133" s="31"/>
    </row>
    <row r="134" spans="1:26" ht="19.5" customHeight="1">
      <c r="A134" s="25"/>
      <c r="B134" s="59"/>
      <c r="C134" s="61" t="str">
        <f>IF(B134="","",DATEDIF(Person!$C$22,B134,"y"))</f>
        <v/>
      </c>
      <c r="D134" s="25"/>
      <c r="E134" s="62"/>
      <c r="F134" s="63"/>
      <c r="G134" s="64" t="str">
        <f>IF(F134="","",IF(E134="","",IF(W134="","",F134*(100%-H134/100))))</f>
        <v/>
      </c>
      <c r="H134" s="64" t="str">
        <f>IF(F134="","",IF(E134="","",IF(W134="","",$O$10*(($K$9*F134^$K$10)*($L$9*E134^$L$10)*(ABS(W134-(($J$8*E134^$J$9)*F134^$J$10+$J$7)))^$M$10)+$P$10)))</f>
        <v/>
      </c>
      <c r="I134" s="29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65" t="str">
        <f>IF(J134="","",SUM(J134:S134))</f>
        <v/>
      </c>
      <c r="X134" s="25"/>
      <c r="Y134" s="25"/>
      <c r="Z134" s="25"/>
    </row>
    <row r="135" spans="1:26" ht="19.5" customHeight="1">
      <c r="A135" s="31"/>
      <c r="B135" s="60"/>
      <c r="C135" s="60"/>
      <c r="D135" s="31"/>
      <c r="E135" s="60"/>
      <c r="F135" s="60"/>
      <c r="G135" s="60"/>
      <c r="H135" s="60"/>
      <c r="I135" s="31"/>
      <c r="J135" s="33" t="str">
        <f>IF(ISERROR(Grafik!D171),"",Grafik!D171)</f>
        <v/>
      </c>
      <c r="K135" s="33" t="str">
        <f>IF(ISERROR(Grafik!E171),"",Grafik!E171)</f>
        <v/>
      </c>
      <c r="L135" s="33" t="str">
        <f>IF(ISERROR(Grafik!F171),"",Grafik!F171)</f>
        <v/>
      </c>
      <c r="M135" s="33" t="str">
        <f>IF(ISERROR(Grafik!G171),"",Grafik!G171)</f>
        <v/>
      </c>
      <c r="N135" s="33" t="str">
        <f>IF(ISERROR(Grafik!H171),"",Grafik!H171)</f>
        <v/>
      </c>
      <c r="O135" s="33" t="str">
        <f>IF(ISERROR(Grafik!I171),"",Grafik!I171)</f>
        <v/>
      </c>
      <c r="P135" s="33" t="str">
        <f>IF(ISERROR(Grafik!J171),"",Grafik!J171)</f>
        <v/>
      </c>
      <c r="Q135" s="33" t="str">
        <f>IF(ISERROR(Grafik!K171),"",Grafik!K171)</f>
        <v/>
      </c>
      <c r="R135" s="33" t="str">
        <f>IF(ISERROR(Grafik!L171),"",Grafik!L171)</f>
        <v/>
      </c>
      <c r="S135" s="33" t="str">
        <f>IF(ISERROR(Grafik!M171),"",Grafik!M171)</f>
        <v/>
      </c>
      <c r="T135" s="33" t="str">
        <f>IF(ISERROR(Grafik!N171),"",Grafik!N171)</f>
        <v/>
      </c>
      <c r="U135" s="33" t="str">
        <f>IF(ISERROR(Grafik!O171),"",Grafik!O171)</f>
        <v/>
      </c>
      <c r="V135" s="33" t="str">
        <f>IF(ISERROR(Grafik!P171),"",Grafik!P171)</f>
        <v/>
      </c>
      <c r="W135" s="66"/>
      <c r="X135" s="31"/>
      <c r="Y135" s="31"/>
      <c r="Z135" s="31"/>
    </row>
    <row r="136" spans="1:26" ht="19.5" customHeight="1">
      <c r="A136" s="25"/>
      <c r="B136" s="59"/>
      <c r="C136" s="61" t="str">
        <f>IF(B136="","",DATEDIF(Person!$C$22,B136,"y"))</f>
        <v/>
      </c>
      <c r="D136" s="25"/>
      <c r="E136" s="62"/>
      <c r="F136" s="63"/>
      <c r="G136" s="64" t="str">
        <f>IF(F136="","",IF(E136="","",IF(W136="","",F136*(100%-H136/100))))</f>
        <v/>
      </c>
      <c r="H136" s="64" t="str">
        <f>IF(F136="","",IF(E136="","",IF(W136="","",$O$10*(($K$9*F136^$K$10)*($L$9*E136^$L$10)*(ABS(W136-(($J$8*E136^$J$9)*F136^$J$10+$J$7)))^$M$10)+$P$10)))</f>
        <v/>
      </c>
      <c r="I136" s="29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65" t="str">
        <f>IF(J136="","",SUM(J136:S136))</f>
        <v/>
      </c>
      <c r="X136" s="25"/>
      <c r="Y136" s="25"/>
      <c r="Z136" s="25"/>
    </row>
    <row r="137" spans="1:26" ht="19.5" customHeight="1">
      <c r="A137" s="31"/>
      <c r="B137" s="60"/>
      <c r="C137" s="60"/>
      <c r="D137" s="31"/>
      <c r="E137" s="60"/>
      <c r="F137" s="60"/>
      <c r="G137" s="60"/>
      <c r="H137" s="60"/>
      <c r="I137" s="31"/>
      <c r="J137" s="33" t="str">
        <f>IF(ISERROR(Grafik!D173),"",Grafik!D173)</f>
        <v/>
      </c>
      <c r="K137" s="33" t="str">
        <f>IF(ISERROR(Grafik!E173),"",Grafik!E173)</f>
        <v/>
      </c>
      <c r="L137" s="33" t="str">
        <f>IF(ISERROR(Grafik!F173),"",Grafik!F173)</f>
        <v/>
      </c>
      <c r="M137" s="33" t="str">
        <f>IF(ISERROR(Grafik!G173),"",Grafik!G173)</f>
        <v/>
      </c>
      <c r="N137" s="33" t="str">
        <f>IF(ISERROR(Grafik!H173),"",Grafik!H173)</f>
        <v/>
      </c>
      <c r="O137" s="33" t="str">
        <f>IF(ISERROR(Grafik!I173),"",Grafik!I173)</f>
        <v/>
      </c>
      <c r="P137" s="33" t="str">
        <f>IF(ISERROR(Grafik!J173),"",Grafik!J173)</f>
        <v/>
      </c>
      <c r="Q137" s="33" t="str">
        <f>IF(ISERROR(Grafik!K173),"",Grafik!K173)</f>
        <v/>
      </c>
      <c r="R137" s="33" t="str">
        <f>IF(ISERROR(Grafik!L173),"",Grafik!L173)</f>
        <v/>
      </c>
      <c r="S137" s="33" t="str">
        <f>IF(ISERROR(Grafik!M173),"",Grafik!M173)</f>
        <v/>
      </c>
      <c r="T137" s="33" t="str">
        <f>IF(ISERROR(Grafik!N173),"",Grafik!N173)</f>
        <v/>
      </c>
      <c r="U137" s="33" t="str">
        <f>IF(ISERROR(Grafik!O173),"",Grafik!O173)</f>
        <v/>
      </c>
      <c r="V137" s="33" t="str">
        <f>IF(ISERROR(Grafik!P173),"",Grafik!P173)</f>
        <v/>
      </c>
      <c r="W137" s="66"/>
      <c r="X137" s="31"/>
      <c r="Y137" s="31"/>
      <c r="Z137" s="31"/>
    </row>
    <row r="138" spans="1:26" ht="19.5" customHeight="1">
      <c r="A138" s="25"/>
      <c r="B138" s="59"/>
      <c r="C138" s="61" t="str">
        <f>IF(B138="","",DATEDIF(Person!$C$22,B138,"y"))</f>
        <v/>
      </c>
      <c r="D138" s="25"/>
      <c r="E138" s="62"/>
      <c r="F138" s="63"/>
      <c r="G138" s="64" t="str">
        <f>IF(F138="","",IF(E138="","",IF(W138="","",F138*(100%-H138/100))))</f>
        <v/>
      </c>
      <c r="H138" s="64" t="str">
        <f>IF(F138="","",IF(E138="","",IF(W138="","",$O$10*(($K$9*F138^$K$10)*($L$9*E138^$L$10)*(ABS(W138-(($J$8*E138^$J$9)*F138^$J$10+$J$7)))^$M$10)+$P$10)))</f>
        <v/>
      </c>
      <c r="I138" s="29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65" t="str">
        <f>IF(J138="","",SUM(J138:S138))</f>
        <v/>
      </c>
      <c r="X138" s="25"/>
      <c r="Y138" s="25"/>
      <c r="Z138" s="25"/>
    </row>
    <row r="139" spans="1:26" ht="19.5" customHeight="1">
      <c r="A139" s="31"/>
      <c r="B139" s="60"/>
      <c r="C139" s="60"/>
      <c r="D139" s="31"/>
      <c r="E139" s="60"/>
      <c r="F139" s="60"/>
      <c r="G139" s="60"/>
      <c r="H139" s="60"/>
      <c r="I139" s="31"/>
      <c r="J139" s="33" t="str">
        <f>IF(ISERROR(Grafik!D175),"",Grafik!D175)</f>
        <v/>
      </c>
      <c r="K139" s="33" t="str">
        <f>IF(ISERROR(Grafik!E175),"",Grafik!E175)</f>
        <v/>
      </c>
      <c r="L139" s="33" t="str">
        <f>IF(ISERROR(Grafik!F175),"",Grafik!F175)</f>
        <v/>
      </c>
      <c r="M139" s="33" t="str">
        <f>IF(ISERROR(Grafik!G175),"",Grafik!G175)</f>
        <v/>
      </c>
      <c r="N139" s="33" t="str">
        <f>IF(ISERROR(Grafik!H175),"",Grafik!H175)</f>
        <v/>
      </c>
      <c r="O139" s="33" t="str">
        <f>IF(ISERROR(Grafik!I175),"",Grafik!I175)</f>
        <v/>
      </c>
      <c r="P139" s="33" t="str">
        <f>IF(ISERROR(Grafik!J175),"",Grafik!J175)</f>
        <v/>
      </c>
      <c r="Q139" s="33" t="str">
        <f>IF(ISERROR(Grafik!K175),"",Grafik!K175)</f>
        <v/>
      </c>
      <c r="R139" s="33" t="str">
        <f>IF(ISERROR(Grafik!L175),"",Grafik!L175)</f>
        <v/>
      </c>
      <c r="S139" s="33" t="str">
        <f>IF(ISERROR(Grafik!M175),"",Grafik!M175)</f>
        <v/>
      </c>
      <c r="T139" s="33" t="str">
        <f>IF(ISERROR(Grafik!N175),"",Grafik!N175)</f>
        <v/>
      </c>
      <c r="U139" s="33" t="str">
        <f>IF(ISERROR(Grafik!O175),"",Grafik!O175)</f>
        <v/>
      </c>
      <c r="V139" s="33" t="str">
        <f>IF(ISERROR(Grafik!P175),"",Grafik!P175)</f>
        <v/>
      </c>
      <c r="W139" s="66"/>
      <c r="X139" s="31"/>
      <c r="Y139" s="31"/>
      <c r="Z139" s="31"/>
    </row>
    <row r="140" spans="1:26" ht="19.5" customHeight="1">
      <c r="A140" s="25"/>
      <c r="B140" s="59"/>
      <c r="C140" s="61" t="str">
        <f>IF(B140="","",DATEDIF(Person!$C$22,B140,"y"))</f>
        <v/>
      </c>
      <c r="D140" s="25"/>
      <c r="E140" s="62"/>
      <c r="F140" s="63"/>
      <c r="G140" s="64" t="str">
        <f>IF(F140="","",IF(E140="","",IF(W140="","",F140*(100%-H140/100))))</f>
        <v/>
      </c>
      <c r="H140" s="64" t="str">
        <f>IF(F140="","",IF(E140="","",IF(W140="","",$O$10*(($K$9*F140^$K$10)*($L$9*E140^$L$10)*(ABS(W140-(($J$8*E140^$J$9)*F140^$J$10+$J$7)))^$M$10)+$P$10)))</f>
        <v/>
      </c>
      <c r="I140" s="29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65" t="str">
        <f>IF(J140="","",SUM(J140:S140))</f>
        <v/>
      </c>
      <c r="X140" s="25"/>
      <c r="Y140" s="25"/>
      <c r="Z140" s="25"/>
    </row>
    <row r="141" spans="1:26" ht="19.5" customHeight="1">
      <c r="A141" s="31"/>
      <c r="B141" s="60"/>
      <c r="C141" s="60"/>
      <c r="D141" s="31"/>
      <c r="E141" s="60"/>
      <c r="F141" s="60"/>
      <c r="G141" s="60"/>
      <c r="H141" s="60"/>
      <c r="I141" s="31"/>
      <c r="J141" s="33" t="str">
        <f>IF(ISERROR(Grafik!D177),"",Grafik!D177)</f>
        <v/>
      </c>
      <c r="K141" s="33" t="str">
        <f>IF(ISERROR(Grafik!E177),"",Grafik!E177)</f>
        <v/>
      </c>
      <c r="L141" s="33" t="str">
        <f>IF(ISERROR(Grafik!F177),"",Grafik!F177)</f>
        <v/>
      </c>
      <c r="M141" s="33" t="str">
        <f>IF(ISERROR(Grafik!G177),"",Grafik!G177)</f>
        <v/>
      </c>
      <c r="N141" s="33" t="str">
        <f>IF(ISERROR(Grafik!H177),"",Grafik!H177)</f>
        <v/>
      </c>
      <c r="O141" s="33" t="str">
        <f>IF(ISERROR(Grafik!I177),"",Grafik!I177)</f>
        <v/>
      </c>
      <c r="P141" s="33" t="str">
        <f>IF(ISERROR(Grafik!J177),"",Grafik!J177)</f>
        <v/>
      </c>
      <c r="Q141" s="33" t="str">
        <f>IF(ISERROR(Grafik!K177),"",Grafik!K177)</f>
        <v/>
      </c>
      <c r="R141" s="33" t="str">
        <f>IF(ISERROR(Grafik!L177),"",Grafik!L177)</f>
        <v/>
      </c>
      <c r="S141" s="33" t="str">
        <f>IF(ISERROR(Grafik!M177),"",Grafik!M177)</f>
        <v/>
      </c>
      <c r="T141" s="33" t="str">
        <f>IF(ISERROR(Grafik!N177),"",Grafik!N177)</f>
        <v/>
      </c>
      <c r="U141" s="33" t="str">
        <f>IF(ISERROR(Grafik!O177),"",Grafik!O177)</f>
        <v/>
      </c>
      <c r="V141" s="33" t="str">
        <f>IF(ISERROR(Grafik!P177),"",Grafik!P177)</f>
        <v/>
      </c>
      <c r="W141" s="66"/>
      <c r="X141" s="31"/>
      <c r="Y141" s="31"/>
      <c r="Z141" s="31"/>
    </row>
    <row r="142" spans="1:26" ht="19.5" customHeight="1">
      <c r="A142" s="25"/>
      <c r="B142" s="59"/>
      <c r="C142" s="61" t="str">
        <f>IF(B142="","",DATEDIF(Person!$C$22,B142,"y"))</f>
        <v/>
      </c>
      <c r="D142" s="25"/>
      <c r="E142" s="62"/>
      <c r="F142" s="63"/>
      <c r="G142" s="64" t="str">
        <f>IF(F142="","",IF(E142="","",IF(W142="","",F142*(100%-H142/100))))</f>
        <v/>
      </c>
      <c r="H142" s="64" t="str">
        <f>IF(F142="","",IF(E142="","",IF(W142="","",$O$10*(($K$9*F142^$K$10)*($L$9*E142^$L$10)*(ABS(W142-(($J$8*E142^$J$9)*F142^$J$10+$J$7)))^$M$10)+$P$10)))</f>
        <v/>
      </c>
      <c r="I142" s="29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65" t="str">
        <f>IF(J142="","",SUM(J142:S142))</f>
        <v/>
      </c>
      <c r="X142" s="25"/>
      <c r="Y142" s="25"/>
      <c r="Z142" s="25"/>
    </row>
    <row r="143" spans="1:26" ht="19.5" customHeight="1">
      <c r="A143" s="31"/>
      <c r="B143" s="60"/>
      <c r="C143" s="60"/>
      <c r="D143" s="31"/>
      <c r="E143" s="60"/>
      <c r="F143" s="60"/>
      <c r="G143" s="60"/>
      <c r="H143" s="60"/>
      <c r="I143" s="31"/>
      <c r="J143" s="33" t="str">
        <f>IF(ISERROR(Grafik!D179),"",Grafik!D179)</f>
        <v/>
      </c>
      <c r="K143" s="33" t="str">
        <f>IF(ISERROR(Grafik!E179),"",Grafik!E179)</f>
        <v/>
      </c>
      <c r="L143" s="33" t="str">
        <f>IF(ISERROR(Grafik!F179),"",Grafik!F179)</f>
        <v/>
      </c>
      <c r="M143" s="33" t="str">
        <f>IF(ISERROR(Grafik!G179),"",Grafik!G179)</f>
        <v/>
      </c>
      <c r="N143" s="33" t="str">
        <f>IF(ISERROR(Grafik!H179),"",Grafik!H179)</f>
        <v/>
      </c>
      <c r="O143" s="33" t="str">
        <f>IF(ISERROR(Grafik!I179),"",Grafik!I179)</f>
        <v/>
      </c>
      <c r="P143" s="33" t="str">
        <f>IF(ISERROR(Grafik!J179),"",Grafik!J179)</f>
        <v/>
      </c>
      <c r="Q143" s="33" t="str">
        <f>IF(ISERROR(Grafik!K179),"",Grafik!K179)</f>
        <v/>
      </c>
      <c r="R143" s="33" t="str">
        <f>IF(ISERROR(Grafik!L179),"",Grafik!L179)</f>
        <v/>
      </c>
      <c r="S143" s="33" t="str">
        <f>IF(ISERROR(Grafik!M179),"",Grafik!M179)</f>
        <v/>
      </c>
      <c r="T143" s="33" t="str">
        <f>IF(ISERROR(Grafik!N179),"",Grafik!N179)</f>
        <v/>
      </c>
      <c r="U143" s="33" t="str">
        <f>IF(ISERROR(Grafik!O179),"",Grafik!O179)</f>
        <v/>
      </c>
      <c r="V143" s="33" t="str">
        <f>IF(ISERROR(Grafik!P179),"",Grafik!P179)</f>
        <v/>
      </c>
      <c r="W143" s="66"/>
      <c r="X143" s="31"/>
      <c r="Y143" s="31"/>
      <c r="Z143" s="31"/>
    </row>
    <row r="144" spans="1:26" ht="19.5" customHeight="1">
      <c r="A144" s="25"/>
      <c r="B144" s="59"/>
      <c r="C144" s="61" t="str">
        <f>IF(B144="","",DATEDIF(Person!$C$22,B144,"y"))</f>
        <v/>
      </c>
      <c r="D144" s="25"/>
      <c r="E144" s="62"/>
      <c r="F144" s="63"/>
      <c r="G144" s="64" t="str">
        <f>IF(F144="","",IF(E144="","",IF(W144="","",F144*(100%-H144/100))))</f>
        <v/>
      </c>
      <c r="H144" s="64" t="str">
        <f>IF(F144="","",IF(E144="","",IF(W144="","",$O$10*(($K$9*F144^$K$10)*($L$9*E144^$L$10)*(ABS(W144-(($J$8*E144^$J$9)*F144^$J$10+$J$7)))^$M$10)+$P$10)))</f>
        <v/>
      </c>
      <c r="I144" s="29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65" t="str">
        <f>IF(J144="","",SUM(J144:S144))</f>
        <v/>
      </c>
      <c r="X144" s="25"/>
      <c r="Y144" s="25"/>
      <c r="Z144" s="25"/>
    </row>
    <row r="145" spans="1:26" ht="19.5" customHeight="1">
      <c r="A145" s="31"/>
      <c r="B145" s="60"/>
      <c r="C145" s="60"/>
      <c r="D145" s="31"/>
      <c r="E145" s="60"/>
      <c r="F145" s="60"/>
      <c r="G145" s="60"/>
      <c r="H145" s="60"/>
      <c r="I145" s="31"/>
      <c r="J145" s="33" t="str">
        <f>IF(ISERROR(Grafik!D181),"",Grafik!D181)</f>
        <v/>
      </c>
      <c r="K145" s="33" t="str">
        <f>IF(ISERROR(Grafik!E181),"",Grafik!E181)</f>
        <v/>
      </c>
      <c r="L145" s="33" t="str">
        <f>IF(ISERROR(Grafik!F181),"",Grafik!F181)</f>
        <v/>
      </c>
      <c r="M145" s="33" t="str">
        <f>IF(ISERROR(Grafik!G181),"",Grafik!G181)</f>
        <v/>
      </c>
      <c r="N145" s="33" t="str">
        <f>IF(ISERROR(Grafik!H181),"",Grafik!H181)</f>
        <v/>
      </c>
      <c r="O145" s="33" t="str">
        <f>IF(ISERROR(Grafik!I181),"",Grafik!I181)</f>
        <v/>
      </c>
      <c r="P145" s="33" t="str">
        <f>IF(ISERROR(Grafik!J181),"",Grafik!J181)</f>
        <v/>
      </c>
      <c r="Q145" s="33" t="str">
        <f>IF(ISERROR(Grafik!K181),"",Grafik!K181)</f>
        <v/>
      </c>
      <c r="R145" s="33" t="str">
        <f>IF(ISERROR(Grafik!L181),"",Grafik!L181)</f>
        <v/>
      </c>
      <c r="S145" s="33" t="str">
        <f>IF(ISERROR(Grafik!M181),"",Grafik!M181)</f>
        <v/>
      </c>
      <c r="T145" s="33" t="str">
        <f>IF(ISERROR(Grafik!N181),"",Grafik!N181)</f>
        <v/>
      </c>
      <c r="U145" s="33" t="str">
        <f>IF(ISERROR(Grafik!O181),"",Grafik!O181)</f>
        <v/>
      </c>
      <c r="V145" s="33" t="str">
        <f>IF(ISERROR(Grafik!P181),"",Grafik!P181)</f>
        <v/>
      </c>
      <c r="W145" s="66"/>
      <c r="X145" s="31"/>
      <c r="Y145" s="31"/>
      <c r="Z145" s="31"/>
    </row>
    <row r="146" spans="1:26" ht="19.5" customHeight="1">
      <c r="A146" s="25"/>
      <c r="B146" s="59"/>
      <c r="C146" s="61" t="str">
        <f>IF(B146="","",DATEDIF(Person!$C$22,B146,"y"))</f>
        <v/>
      </c>
      <c r="D146" s="25"/>
      <c r="E146" s="62"/>
      <c r="F146" s="63"/>
      <c r="G146" s="64" t="str">
        <f>IF(F146="","",IF(E146="","",IF(W146="","",F146*(100%-H146/100))))</f>
        <v/>
      </c>
      <c r="H146" s="64" t="str">
        <f>IF(F146="","",IF(E146="","",IF(W146="","",$O$10*(($K$9*F146^$K$10)*($L$9*E146^$L$10)*(ABS(W146-(($J$8*E146^$J$9)*F146^$J$10+$J$7)))^$M$10)+$P$10)))</f>
        <v/>
      </c>
      <c r="I146" s="29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65" t="str">
        <f>IF(J146="","",SUM(J146:S146))</f>
        <v/>
      </c>
      <c r="X146" s="25"/>
      <c r="Y146" s="25"/>
      <c r="Z146" s="25"/>
    </row>
    <row r="147" spans="1:26" ht="19.5" customHeight="1">
      <c r="A147" s="31"/>
      <c r="B147" s="60"/>
      <c r="C147" s="60"/>
      <c r="D147" s="31"/>
      <c r="E147" s="60"/>
      <c r="F147" s="60"/>
      <c r="G147" s="60"/>
      <c r="H147" s="60"/>
      <c r="I147" s="31"/>
      <c r="J147" s="33" t="str">
        <f>IF(ISERROR(Grafik!D183),"",Grafik!D183)</f>
        <v/>
      </c>
      <c r="K147" s="33" t="str">
        <f>IF(ISERROR(Grafik!E183),"",Grafik!E183)</f>
        <v/>
      </c>
      <c r="L147" s="33" t="str">
        <f>IF(ISERROR(Grafik!F183),"",Grafik!F183)</f>
        <v/>
      </c>
      <c r="M147" s="33" t="str">
        <f>IF(ISERROR(Grafik!G183),"",Grafik!G183)</f>
        <v/>
      </c>
      <c r="N147" s="33" t="str">
        <f>IF(ISERROR(Grafik!H183),"",Grafik!H183)</f>
        <v/>
      </c>
      <c r="O147" s="33" t="str">
        <f>IF(ISERROR(Grafik!I183),"",Grafik!I183)</f>
        <v/>
      </c>
      <c r="P147" s="33" t="str">
        <f>IF(ISERROR(Grafik!J183),"",Grafik!J183)</f>
        <v/>
      </c>
      <c r="Q147" s="33" t="str">
        <f>IF(ISERROR(Grafik!K183),"",Grafik!K183)</f>
        <v/>
      </c>
      <c r="R147" s="33" t="str">
        <f>IF(ISERROR(Grafik!L183),"",Grafik!L183)</f>
        <v/>
      </c>
      <c r="S147" s="33" t="str">
        <f>IF(ISERROR(Grafik!M183),"",Grafik!M183)</f>
        <v/>
      </c>
      <c r="T147" s="33" t="str">
        <f>IF(ISERROR(Grafik!N183),"",Grafik!N183)</f>
        <v/>
      </c>
      <c r="U147" s="33" t="str">
        <f>IF(ISERROR(Grafik!O183),"",Grafik!O183)</f>
        <v/>
      </c>
      <c r="V147" s="33" t="str">
        <f>IF(ISERROR(Grafik!P183),"",Grafik!P183)</f>
        <v/>
      </c>
      <c r="W147" s="66"/>
      <c r="X147" s="31"/>
      <c r="Y147" s="31"/>
      <c r="Z147" s="31"/>
    </row>
    <row r="148" spans="1:26" ht="19.5" customHeight="1">
      <c r="A148" s="25"/>
      <c r="B148" s="59"/>
      <c r="C148" s="61" t="str">
        <f>IF(B148="","",DATEDIF(Person!$C$22,B148,"y"))</f>
        <v/>
      </c>
      <c r="D148" s="25"/>
      <c r="E148" s="62"/>
      <c r="F148" s="63"/>
      <c r="G148" s="64" t="str">
        <f>IF(F148="","",IF(E148="","",IF(W148="","",F148*(100%-H148/100))))</f>
        <v/>
      </c>
      <c r="H148" s="64" t="str">
        <f>IF(F148="","",IF(E148="","",IF(W148="","",$O$10*(($K$9*F148^$K$10)*($L$9*E148^$L$10)*(ABS(W148-(($J$8*E148^$J$9)*F148^$J$10+$J$7)))^$M$10)+$P$10)))</f>
        <v/>
      </c>
      <c r="I148" s="29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65" t="str">
        <f>IF(J148="","",SUM(J148:S148))</f>
        <v/>
      </c>
      <c r="X148" s="25"/>
      <c r="Y148" s="25"/>
      <c r="Z148" s="25"/>
    </row>
    <row r="149" spans="1:26" ht="19.5" customHeight="1">
      <c r="A149" s="31"/>
      <c r="B149" s="60"/>
      <c r="C149" s="60"/>
      <c r="D149" s="31"/>
      <c r="E149" s="60"/>
      <c r="F149" s="60"/>
      <c r="G149" s="60"/>
      <c r="H149" s="60"/>
      <c r="I149" s="31"/>
      <c r="J149" s="33" t="str">
        <f>IF(ISERROR(Grafik!D185),"",Grafik!D185)</f>
        <v/>
      </c>
      <c r="K149" s="33" t="str">
        <f>IF(ISERROR(Grafik!E185),"",Grafik!E185)</f>
        <v/>
      </c>
      <c r="L149" s="33" t="str">
        <f>IF(ISERROR(Grafik!F185),"",Grafik!F185)</f>
        <v/>
      </c>
      <c r="M149" s="33" t="str">
        <f>IF(ISERROR(Grafik!G185),"",Grafik!G185)</f>
        <v/>
      </c>
      <c r="N149" s="33" t="str">
        <f>IF(ISERROR(Grafik!H185),"",Grafik!H185)</f>
        <v/>
      </c>
      <c r="O149" s="33" t="str">
        <f>IF(ISERROR(Grafik!I185),"",Grafik!I185)</f>
        <v/>
      </c>
      <c r="P149" s="33" t="str">
        <f>IF(ISERROR(Grafik!J185),"",Grafik!J185)</f>
        <v/>
      </c>
      <c r="Q149" s="33" t="str">
        <f>IF(ISERROR(Grafik!K185),"",Grafik!K185)</f>
        <v/>
      </c>
      <c r="R149" s="33" t="str">
        <f>IF(ISERROR(Grafik!L185),"",Grafik!L185)</f>
        <v/>
      </c>
      <c r="S149" s="33" t="str">
        <f>IF(ISERROR(Grafik!M185),"",Grafik!M185)</f>
        <v/>
      </c>
      <c r="T149" s="33" t="str">
        <f>IF(ISERROR(Grafik!N185),"",Grafik!N185)</f>
        <v/>
      </c>
      <c r="U149" s="33" t="str">
        <f>IF(ISERROR(Grafik!O185),"",Grafik!O185)</f>
        <v/>
      </c>
      <c r="V149" s="33" t="str">
        <f>IF(ISERROR(Grafik!P185),"",Grafik!P185)</f>
        <v/>
      </c>
      <c r="W149" s="66"/>
      <c r="X149" s="31"/>
      <c r="Y149" s="31"/>
      <c r="Z149" s="31"/>
    </row>
    <row r="150" spans="1:26" ht="19.5" customHeight="1">
      <c r="A150" s="25"/>
      <c r="B150" s="59"/>
      <c r="C150" s="61" t="str">
        <f>IF(B150="","",DATEDIF(Person!$C$22,B150,"y"))</f>
        <v/>
      </c>
      <c r="D150" s="25"/>
      <c r="E150" s="62"/>
      <c r="F150" s="63"/>
      <c r="G150" s="64" t="str">
        <f>IF(F150="","",IF(E150="","",IF(W150="","",F150*(100%-H150/100))))</f>
        <v/>
      </c>
      <c r="H150" s="64" t="str">
        <f>IF(F150="","",IF(E150="","",IF(W150="","",$O$10*(($K$9*F150^$K$10)*($L$9*E150^$L$10)*(ABS(W150-(($J$8*E150^$J$9)*F150^$J$10+$J$7)))^$M$10)+$P$10)))</f>
        <v/>
      </c>
      <c r="I150" s="29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65" t="str">
        <f>IF(J150="","",SUM(J150:S150))</f>
        <v/>
      </c>
      <c r="X150" s="25"/>
      <c r="Y150" s="25"/>
      <c r="Z150" s="25"/>
    </row>
    <row r="151" spans="1:26" ht="19.5" customHeight="1">
      <c r="A151" s="31"/>
      <c r="B151" s="60"/>
      <c r="C151" s="60"/>
      <c r="D151" s="31"/>
      <c r="E151" s="60"/>
      <c r="F151" s="60"/>
      <c r="G151" s="60"/>
      <c r="H151" s="60"/>
      <c r="I151" s="31"/>
      <c r="J151" s="33" t="str">
        <f>IF(ISERROR(Grafik!D187),"",Grafik!D187)</f>
        <v/>
      </c>
      <c r="K151" s="33" t="str">
        <f>IF(ISERROR(Grafik!E187),"",Grafik!E187)</f>
        <v/>
      </c>
      <c r="L151" s="33" t="str">
        <f>IF(ISERROR(Grafik!F187),"",Grafik!F187)</f>
        <v/>
      </c>
      <c r="M151" s="33" t="str">
        <f>IF(ISERROR(Grafik!G187),"",Grafik!G187)</f>
        <v/>
      </c>
      <c r="N151" s="33" t="str">
        <f>IF(ISERROR(Grafik!H187),"",Grafik!H187)</f>
        <v/>
      </c>
      <c r="O151" s="33" t="str">
        <f>IF(ISERROR(Grafik!I187),"",Grafik!I187)</f>
        <v/>
      </c>
      <c r="P151" s="33" t="str">
        <f>IF(ISERROR(Grafik!J187),"",Grafik!J187)</f>
        <v/>
      </c>
      <c r="Q151" s="33" t="str">
        <f>IF(ISERROR(Grafik!K187),"",Grafik!K187)</f>
        <v/>
      </c>
      <c r="R151" s="33" t="str">
        <f>IF(ISERROR(Grafik!L187),"",Grafik!L187)</f>
        <v/>
      </c>
      <c r="S151" s="33" t="str">
        <f>IF(ISERROR(Grafik!M187),"",Grafik!M187)</f>
        <v/>
      </c>
      <c r="T151" s="33" t="str">
        <f>IF(ISERROR(Grafik!N187),"",Grafik!N187)</f>
        <v/>
      </c>
      <c r="U151" s="33" t="str">
        <f>IF(ISERROR(Grafik!O187),"",Grafik!O187)</f>
        <v/>
      </c>
      <c r="V151" s="33" t="str">
        <f>IF(ISERROR(Grafik!P187),"",Grafik!P187)</f>
        <v/>
      </c>
      <c r="W151" s="66"/>
      <c r="X151" s="31"/>
      <c r="Y151" s="31"/>
      <c r="Z151" s="31"/>
    </row>
    <row r="152" spans="1:26" ht="19.5" customHeight="1">
      <c r="A152" s="25"/>
      <c r="B152" s="59"/>
      <c r="C152" s="61" t="str">
        <f>IF(B152="","",DATEDIF(Person!$C$22,B152,"y"))</f>
        <v/>
      </c>
      <c r="D152" s="25"/>
      <c r="E152" s="62"/>
      <c r="F152" s="63"/>
      <c r="G152" s="64" t="str">
        <f>IF(F152="","",IF(E152="","",IF(W152="","",F152*(100%-H152/100))))</f>
        <v/>
      </c>
      <c r="H152" s="64" t="str">
        <f>IF(F152="","",IF(E152="","",IF(W152="","",$O$10*(($K$9*F152^$K$10)*($L$9*E152^$L$10)*(ABS(W152-(($J$8*E152^$J$9)*F152^$J$10+$J$7)))^$M$10)+$P$10)))</f>
        <v/>
      </c>
      <c r="I152" s="29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65" t="str">
        <f>IF(J152="","",SUM(J152:S152))</f>
        <v/>
      </c>
      <c r="X152" s="25"/>
      <c r="Y152" s="25"/>
      <c r="Z152" s="25"/>
    </row>
    <row r="153" spans="1:26" ht="19.5" customHeight="1">
      <c r="A153" s="31"/>
      <c r="B153" s="60"/>
      <c r="C153" s="60"/>
      <c r="D153" s="31"/>
      <c r="E153" s="60"/>
      <c r="F153" s="60"/>
      <c r="G153" s="60"/>
      <c r="H153" s="60"/>
      <c r="I153" s="31"/>
      <c r="J153" s="33" t="str">
        <f>IF(ISERROR(Grafik!D189),"",Grafik!D189)</f>
        <v/>
      </c>
      <c r="K153" s="33" t="str">
        <f>IF(ISERROR(Grafik!E189),"",Grafik!E189)</f>
        <v/>
      </c>
      <c r="L153" s="33" t="str">
        <f>IF(ISERROR(Grafik!F189),"",Grafik!F189)</f>
        <v/>
      </c>
      <c r="M153" s="33" t="str">
        <f>IF(ISERROR(Grafik!G189),"",Grafik!G189)</f>
        <v/>
      </c>
      <c r="N153" s="33" t="str">
        <f>IF(ISERROR(Grafik!H189),"",Grafik!H189)</f>
        <v/>
      </c>
      <c r="O153" s="33" t="str">
        <f>IF(ISERROR(Grafik!I189),"",Grafik!I189)</f>
        <v/>
      </c>
      <c r="P153" s="33" t="str">
        <f>IF(ISERROR(Grafik!J189),"",Grafik!J189)</f>
        <v/>
      </c>
      <c r="Q153" s="33" t="str">
        <f>IF(ISERROR(Grafik!K189),"",Grafik!K189)</f>
        <v/>
      </c>
      <c r="R153" s="33" t="str">
        <f>IF(ISERROR(Grafik!L189),"",Grafik!L189)</f>
        <v/>
      </c>
      <c r="S153" s="33" t="str">
        <f>IF(ISERROR(Grafik!M189),"",Grafik!M189)</f>
        <v/>
      </c>
      <c r="T153" s="33" t="str">
        <f>IF(ISERROR(Grafik!N189),"",Grafik!N189)</f>
        <v/>
      </c>
      <c r="U153" s="33" t="str">
        <f>IF(ISERROR(Grafik!O189),"",Grafik!O189)</f>
        <v/>
      </c>
      <c r="V153" s="33" t="str">
        <f>IF(ISERROR(Grafik!P189),"",Grafik!P189)</f>
        <v/>
      </c>
      <c r="W153" s="66"/>
      <c r="X153" s="31"/>
      <c r="Y153" s="31"/>
      <c r="Z153" s="31"/>
    </row>
    <row r="154" spans="1:26" ht="19.5" customHeight="1">
      <c r="A154" s="25"/>
      <c r="B154" s="59"/>
      <c r="C154" s="61" t="str">
        <f>IF(B154="","",DATEDIF(Person!$C$22,B154,"y"))</f>
        <v/>
      </c>
      <c r="D154" s="25"/>
      <c r="E154" s="62"/>
      <c r="F154" s="63"/>
      <c r="G154" s="64" t="str">
        <f>IF(F154="","",IF(E154="","",IF(W154="","",F154*(100%-H154/100))))</f>
        <v/>
      </c>
      <c r="H154" s="64" t="str">
        <f>IF(F154="","",IF(E154="","",IF(W154="","",$O$10*(($K$9*F154^$K$10)*($L$9*E154^$L$10)*(ABS(W154-(($J$8*E154^$J$9)*F154^$J$10+$J$7)))^$M$10)+$P$10)))</f>
        <v/>
      </c>
      <c r="I154" s="29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65" t="str">
        <f>IF(J154="","",SUM(J154:S154))</f>
        <v/>
      </c>
      <c r="X154" s="25"/>
      <c r="Y154" s="25"/>
      <c r="Z154" s="25"/>
    </row>
    <row r="155" spans="1:26" ht="19.5" customHeight="1">
      <c r="A155" s="31"/>
      <c r="B155" s="60"/>
      <c r="C155" s="60"/>
      <c r="D155" s="31"/>
      <c r="E155" s="60"/>
      <c r="F155" s="60"/>
      <c r="G155" s="60"/>
      <c r="H155" s="60"/>
      <c r="I155" s="31"/>
      <c r="J155" s="33" t="str">
        <f>IF(ISERROR(Grafik!D191),"",Grafik!D191)</f>
        <v/>
      </c>
      <c r="K155" s="33" t="str">
        <f>IF(ISERROR(Grafik!E191),"",Grafik!E191)</f>
        <v/>
      </c>
      <c r="L155" s="33" t="str">
        <f>IF(ISERROR(Grafik!F191),"",Grafik!F191)</f>
        <v/>
      </c>
      <c r="M155" s="33" t="str">
        <f>IF(ISERROR(Grafik!G191),"",Grafik!G191)</f>
        <v/>
      </c>
      <c r="N155" s="33" t="str">
        <f>IF(ISERROR(Grafik!H191),"",Grafik!H191)</f>
        <v/>
      </c>
      <c r="O155" s="33" t="str">
        <f>IF(ISERROR(Grafik!I191),"",Grafik!I191)</f>
        <v/>
      </c>
      <c r="P155" s="33" t="str">
        <f>IF(ISERROR(Grafik!J191),"",Grafik!J191)</f>
        <v/>
      </c>
      <c r="Q155" s="33" t="str">
        <f>IF(ISERROR(Grafik!K191),"",Grafik!K191)</f>
        <v/>
      </c>
      <c r="R155" s="33" t="str">
        <f>IF(ISERROR(Grafik!L191),"",Grafik!L191)</f>
        <v/>
      </c>
      <c r="S155" s="33" t="str">
        <f>IF(ISERROR(Grafik!M191),"",Grafik!M191)</f>
        <v/>
      </c>
      <c r="T155" s="33" t="str">
        <f>IF(ISERROR(Grafik!N191),"",Grafik!N191)</f>
        <v/>
      </c>
      <c r="U155" s="33" t="str">
        <f>IF(ISERROR(Grafik!O191),"",Grafik!O191)</f>
        <v/>
      </c>
      <c r="V155" s="33" t="str">
        <f>IF(ISERROR(Grafik!P191),"",Grafik!P191)</f>
        <v/>
      </c>
      <c r="W155" s="66"/>
      <c r="X155" s="31"/>
      <c r="Y155" s="31"/>
      <c r="Z155" s="31"/>
    </row>
    <row r="156" spans="1:26" ht="19.5" customHeight="1">
      <c r="A156" s="25"/>
      <c r="B156" s="59"/>
      <c r="C156" s="61" t="str">
        <f>IF(B156="","",DATEDIF(Person!$C$22,B156,"y"))</f>
        <v/>
      </c>
      <c r="D156" s="25"/>
      <c r="E156" s="62"/>
      <c r="F156" s="63"/>
      <c r="G156" s="64" t="str">
        <f>IF(F156="","",IF(E156="","",IF(W156="","",F156*(100%-H156/100))))</f>
        <v/>
      </c>
      <c r="H156" s="64" t="str">
        <f>IF(F156="","",IF(E156="","",IF(W156="","",$O$10*(($K$9*F156^$K$10)*($L$9*E156^$L$10)*(ABS(W156-(($J$8*E156^$J$9)*F156^$J$10+$J$7)))^$M$10)+$P$10)))</f>
        <v/>
      </c>
      <c r="I156" s="29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65" t="str">
        <f>IF(J156="","",SUM(J156:S156))</f>
        <v/>
      </c>
      <c r="X156" s="25"/>
      <c r="Y156" s="25"/>
      <c r="Z156" s="25"/>
    </row>
    <row r="157" spans="1:26" ht="19.5" customHeight="1">
      <c r="A157" s="31"/>
      <c r="B157" s="60"/>
      <c r="C157" s="60"/>
      <c r="D157" s="31"/>
      <c r="E157" s="60"/>
      <c r="F157" s="60"/>
      <c r="G157" s="60"/>
      <c r="H157" s="60"/>
      <c r="I157" s="31"/>
      <c r="J157" s="33" t="str">
        <f>IF(ISERROR(Grafik!D193),"",Grafik!D193)</f>
        <v/>
      </c>
      <c r="K157" s="33" t="str">
        <f>IF(ISERROR(Grafik!E193),"",Grafik!E193)</f>
        <v/>
      </c>
      <c r="L157" s="33" t="str">
        <f>IF(ISERROR(Grafik!F193),"",Grafik!F193)</f>
        <v/>
      </c>
      <c r="M157" s="33" t="str">
        <f>IF(ISERROR(Grafik!G193),"",Grafik!G193)</f>
        <v/>
      </c>
      <c r="N157" s="33" t="str">
        <f>IF(ISERROR(Grafik!H193),"",Grafik!H193)</f>
        <v/>
      </c>
      <c r="O157" s="33" t="str">
        <f>IF(ISERROR(Grafik!I193),"",Grafik!I193)</f>
        <v/>
      </c>
      <c r="P157" s="33" t="str">
        <f>IF(ISERROR(Grafik!J193),"",Grafik!J193)</f>
        <v/>
      </c>
      <c r="Q157" s="33" t="str">
        <f>IF(ISERROR(Grafik!K193),"",Grafik!K193)</f>
        <v/>
      </c>
      <c r="R157" s="33" t="str">
        <f>IF(ISERROR(Grafik!L193),"",Grafik!L193)</f>
        <v/>
      </c>
      <c r="S157" s="33" t="str">
        <f>IF(ISERROR(Grafik!M193),"",Grafik!M193)</f>
        <v/>
      </c>
      <c r="T157" s="33" t="str">
        <f>IF(ISERROR(Grafik!N193),"",Grafik!N193)</f>
        <v/>
      </c>
      <c r="U157" s="33" t="str">
        <f>IF(ISERROR(Grafik!O193),"",Grafik!O193)</f>
        <v/>
      </c>
      <c r="V157" s="33" t="str">
        <f>IF(ISERROR(Grafik!P193),"",Grafik!P193)</f>
        <v/>
      </c>
      <c r="W157" s="66"/>
      <c r="X157" s="31"/>
      <c r="Y157" s="31"/>
      <c r="Z157" s="31"/>
    </row>
    <row r="158" spans="1:26" ht="19.5" customHeight="1">
      <c r="A158" s="25"/>
      <c r="B158" s="59"/>
      <c r="C158" s="61" t="str">
        <f>IF(B158="","",DATEDIF(Person!$C$22,B158,"y"))</f>
        <v/>
      </c>
      <c r="D158" s="25"/>
      <c r="E158" s="62"/>
      <c r="F158" s="63"/>
      <c r="G158" s="64" t="str">
        <f>IF(F158="","",IF(E158="","",IF(W158="","",F158*(100%-H158/100))))</f>
        <v/>
      </c>
      <c r="H158" s="64" t="str">
        <f>IF(F158="","",IF(E158="","",IF(W158="","",$O$10*(($K$9*F158^$K$10)*($L$9*E158^$L$10)*(ABS(W158-(($J$8*E158^$J$9)*F158^$J$10+$J$7)))^$M$10)+$P$10)))</f>
        <v/>
      </c>
      <c r="I158" s="29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65" t="str">
        <f>IF(J158="","",SUM(J158:S158))</f>
        <v/>
      </c>
      <c r="X158" s="25"/>
      <c r="Y158" s="25"/>
      <c r="Z158" s="25"/>
    </row>
    <row r="159" spans="1:26" ht="19.5" customHeight="1">
      <c r="A159" s="31"/>
      <c r="B159" s="60"/>
      <c r="C159" s="60"/>
      <c r="D159" s="31"/>
      <c r="E159" s="60"/>
      <c r="F159" s="60"/>
      <c r="G159" s="60"/>
      <c r="H159" s="60"/>
      <c r="I159" s="31"/>
      <c r="J159" s="33" t="str">
        <f>IF(ISERROR(Grafik!D195),"",Grafik!D195)</f>
        <v/>
      </c>
      <c r="K159" s="33" t="str">
        <f>IF(ISERROR(Grafik!E195),"",Grafik!E195)</f>
        <v/>
      </c>
      <c r="L159" s="33" t="str">
        <f>IF(ISERROR(Grafik!F195),"",Grafik!F195)</f>
        <v/>
      </c>
      <c r="M159" s="33" t="str">
        <f>IF(ISERROR(Grafik!G195),"",Grafik!G195)</f>
        <v/>
      </c>
      <c r="N159" s="33" t="str">
        <f>IF(ISERROR(Grafik!H195),"",Grafik!H195)</f>
        <v/>
      </c>
      <c r="O159" s="33" t="str">
        <f>IF(ISERROR(Grafik!I195),"",Grafik!I195)</f>
        <v/>
      </c>
      <c r="P159" s="33" t="str">
        <f>IF(ISERROR(Grafik!J195),"",Grafik!J195)</f>
        <v/>
      </c>
      <c r="Q159" s="33" t="str">
        <f>IF(ISERROR(Grafik!K195),"",Grafik!K195)</f>
        <v/>
      </c>
      <c r="R159" s="33" t="str">
        <f>IF(ISERROR(Grafik!L195),"",Grafik!L195)</f>
        <v/>
      </c>
      <c r="S159" s="33" t="str">
        <f>IF(ISERROR(Grafik!M195),"",Grafik!M195)</f>
        <v/>
      </c>
      <c r="T159" s="33" t="str">
        <f>IF(ISERROR(Grafik!N195),"",Grafik!N195)</f>
        <v/>
      </c>
      <c r="U159" s="33" t="str">
        <f>IF(ISERROR(Grafik!O195),"",Grafik!O195)</f>
        <v/>
      </c>
      <c r="V159" s="33" t="str">
        <f>IF(ISERROR(Grafik!P195),"",Grafik!P195)</f>
        <v/>
      </c>
      <c r="W159" s="66"/>
      <c r="X159" s="31"/>
      <c r="Y159" s="31"/>
      <c r="Z159" s="31"/>
    </row>
    <row r="160" spans="1:26" ht="19.5" customHeight="1">
      <c r="A160" s="25"/>
      <c r="B160" s="59"/>
      <c r="C160" s="61" t="str">
        <f>IF(B160="","",DATEDIF(Person!$C$22,B160,"y"))</f>
        <v/>
      </c>
      <c r="D160" s="25"/>
      <c r="E160" s="62"/>
      <c r="F160" s="63"/>
      <c r="G160" s="64" t="str">
        <f>IF(F160="","",IF(E160="","",IF(W160="","",F160*(100%-H160/100))))</f>
        <v/>
      </c>
      <c r="H160" s="64" t="str">
        <f>IF(F160="","",IF(E160="","",IF(W160="","",$O$10*(($K$9*F160^$K$10)*($L$9*E160^$L$10)*(ABS(W160-(($J$8*E160^$J$9)*F160^$J$10+$J$7)))^$M$10)+$P$10)))</f>
        <v/>
      </c>
      <c r="I160" s="29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65" t="str">
        <f>IF(J160="","",SUM(J160:S160))</f>
        <v/>
      </c>
      <c r="X160" s="25"/>
      <c r="Y160" s="25"/>
      <c r="Z160" s="25"/>
    </row>
    <row r="161" spans="1:26" ht="19.5" customHeight="1">
      <c r="A161" s="31"/>
      <c r="B161" s="60"/>
      <c r="C161" s="60"/>
      <c r="D161" s="31"/>
      <c r="E161" s="60"/>
      <c r="F161" s="60"/>
      <c r="G161" s="60"/>
      <c r="H161" s="60"/>
      <c r="I161" s="31"/>
      <c r="J161" s="33" t="str">
        <f>IF(ISERROR(Grafik!D197),"",Grafik!D197)</f>
        <v/>
      </c>
      <c r="K161" s="33" t="str">
        <f>IF(ISERROR(Grafik!E197),"",Grafik!E197)</f>
        <v/>
      </c>
      <c r="L161" s="33" t="str">
        <f>IF(ISERROR(Grafik!F197),"",Grafik!F197)</f>
        <v/>
      </c>
      <c r="M161" s="33" t="str">
        <f>IF(ISERROR(Grafik!G197),"",Grafik!G197)</f>
        <v/>
      </c>
      <c r="N161" s="33" t="str">
        <f>IF(ISERROR(Grafik!H197),"",Grafik!H197)</f>
        <v/>
      </c>
      <c r="O161" s="33" t="str">
        <f>IF(ISERROR(Grafik!I197),"",Grafik!I197)</f>
        <v/>
      </c>
      <c r="P161" s="33" t="str">
        <f>IF(ISERROR(Grafik!J197),"",Grafik!J197)</f>
        <v/>
      </c>
      <c r="Q161" s="33" t="str">
        <f>IF(ISERROR(Grafik!K197),"",Grafik!K197)</f>
        <v/>
      </c>
      <c r="R161" s="33" t="str">
        <f>IF(ISERROR(Grafik!L197),"",Grafik!L197)</f>
        <v/>
      </c>
      <c r="S161" s="33" t="str">
        <f>IF(ISERROR(Grafik!M197),"",Grafik!M197)</f>
        <v/>
      </c>
      <c r="T161" s="33" t="str">
        <f>IF(ISERROR(Grafik!N197),"",Grafik!N197)</f>
        <v/>
      </c>
      <c r="U161" s="33" t="str">
        <f>IF(ISERROR(Grafik!O197),"",Grafik!O197)</f>
        <v/>
      </c>
      <c r="V161" s="33" t="str">
        <f>IF(ISERROR(Grafik!P197),"",Grafik!P197)</f>
        <v/>
      </c>
      <c r="W161" s="66"/>
      <c r="X161" s="31"/>
      <c r="Y161" s="31"/>
      <c r="Z161" s="31"/>
    </row>
    <row r="162" spans="1:26" ht="19.5" customHeight="1">
      <c r="A162" s="25"/>
      <c r="B162" s="59"/>
      <c r="C162" s="61" t="str">
        <f>IF(B162="","",DATEDIF(Person!$C$22,B162,"y"))</f>
        <v/>
      </c>
      <c r="D162" s="25"/>
      <c r="E162" s="62"/>
      <c r="F162" s="63"/>
      <c r="G162" s="64" t="str">
        <f>IF(F162="","",IF(E162="","",IF(W162="","",F162*(100%-H162/100))))</f>
        <v/>
      </c>
      <c r="H162" s="64" t="str">
        <f>IF(F162="","",IF(E162="","",IF(W162="","",$O$10*(($K$9*F162^$K$10)*($L$9*E162^$L$10)*(ABS(W162-(($J$8*E162^$J$9)*F162^$J$10+$J$7)))^$M$10)+$P$10)))</f>
        <v/>
      </c>
      <c r="I162" s="29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65" t="str">
        <f>IF(J162="","",SUM(J162:S162))</f>
        <v/>
      </c>
      <c r="X162" s="25"/>
      <c r="Y162" s="25"/>
      <c r="Z162" s="25"/>
    </row>
    <row r="163" spans="1:26" ht="19.5" customHeight="1">
      <c r="A163" s="31"/>
      <c r="B163" s="60"/>
      <c r="C163" s="60"/>
      <c r="D163" s="31"/>
      <c r="E163" s="60"/>
      <c r="F163" s="60"/>
      <c r="G163" s="60"/>
      <c r="H163" s="60"/>
      <c r="I163" s="31"/>
      <c r="J163" s="33" t="str">
        <f>IF(ISERROR(Grafik!D199),"",Grafik!D199)</f>
        <v/>
      </c>
      <c r="K163" s="33" t="str">
        <f>IF(ISERROR(Grafik!E199),"",Grafik!E199)</f>
        <v/>
      </c>
      <c r="L163" s="33" t="str">
        <f>IF(ISERROR(Grafik!F199),"",Grafik!F199)</f>
        <v/>
      </c>
      <c r="M163" s="33" t="str">
        <f>IF(ISERROR(Grafik!G199),"",Grafik!G199)</f>
        <v/>
      </c>
      <c r="N163" s="33" t="str">
        <f>IF(ISERROR(Grafik!H199),"",Grafik!H199)</f>
        <v/>
      </c>
      <c r="O163" s="33" t="str">
        <f>IF(ISERROR(Grafik!I199),"",Grafik!I199)</f>
        <v/>
      </c>
      <c r="P163" s="33" t="str">
        <f>IF(ISERROR(Grafik!J199),"",Grafik!J199)</f>
        <v/>
      </c>
      <c r="Q163" s="33" t="str">
        <f>IF(ISERROR(Grafik!K199),"",Grafik!K199)</f>
        <v/>
      </c>
      <c r="R163" s="33" t="str">
        <f>IF(ISERROR(Grafik!L199),"",Grafik!L199)</f>
        <v/>
      </c>
      <c r="S163" s="33" t="str">
        <f>IF(ISERROR(Grafik!M199),"",Grafik!M199)</f>
        <v/>
      </c>
      <c r="T163" s="33" t="str">
        <f>IF(ISERROR(Grafik!N199),"",Grafik!N199)</f>
        <v/>
      </c>
      <c r="U163" s="33" t="str">
        <f>IF(ISERROR(Grafik!O199),"",Grafik!O199)</f>
        <v/>
      </c>
      <c r="V163" s="33" t="str">
        <f>IF(ISERROR(Grafik!P199),"",Grafik!P199)</f>
        <v/>
      </c>
      <c r="W163" s="66"/>
      <c r="X163" s="31"/>
      <c r="Y163" s="31"/>
      <c r="Z163" s="31"/>
    </row>
    <row r="164" spans="1:26" ht="19.5" customHeight="1">
      <c r="A164" s="25"/>
      <c r="B164" s="59"/>
      <c r="C164" s="61" t="str">
        <f>IF(B164="","",DATEDIF(Person!$C$22,B164,"y"))</f>
        <v/>
      </c>
      <c r="D164" s="25"/>
      <c r="E164" s="62"/>
      <c r="F164" s="63"/>
      <c r="G164" s="64" t="str">
        <f>IF(F164="","",IF(E164="","",IF(W164="","",F164*(100%-H164/100))))</f>
        <v/>
      </c>
      <c r="H164" s="64" t="str">
        <f>IF(F164="","",IF(E164="","",IF(W164="","",$O$10*(($K$9*F164^$K$10)*($L$9*E164^$L$10)*(ABS(W164-(($J$8*E164^$J$9)*F164^$J$10+$J$7)))^$M$10)+$P$10)))</f>
        <v/>
      </c>
      <c r="I164" s="29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65" t="str">
        <f>IF(J164="","",SUM(J164:S164))</f>
        <v/>
      </c>
      <c r="X164" s="25"/>
      <c r="Y164" s="25"/>
      <c r="Z164" s="25"/>
    </row>
    <row r="165" spans="1:26" ht="19.5" customHeight="1">
      <c r="A165" s="31"/>
      <c r="B165" s="60"/>
      <c r="C165" s="60"/>
      <c r="D165" s="31"/>
      <c r="E165" s="60"/>
      <c r="F165" s="60"/>
      <c r="G165" s="60"/>
      <c r="H165" s="60"/>
      <c r="I165" s="31"/>
      <c r="J165" s="33" t="str">
        <f>IF(ISERROR(Grafik!D201),"",Grafik!D201)</f>
        <v/>
      </c>
      <c r="K165" s="33" t="str">
        <f>IF(ISERROR(Grafik!E201),"",Grafik!E201)</f>
        <v/>
      </c>
      <c r="L165" s="33" t="str">
        <f>IF(ISERROR(Grafik!F201),"",Grafik!F201)</f>
        <v/>
      </c>
      <c r="M165" s="33" t="str">
        <f>IF(ISERROR(Grafik!G201),"",Grafik!G201)</f>
        <v/>
      </c>
      <c r="N165" s="33" t="str">
        <f>IF(ISERROR(Grafik!H201),"",Grafik!H201)</f>
        <v/>
      </c>
      <c r="O165" s="33" t="str">
        <f>IF(ISERROR(Grafik!I201),"",Grafik!I201)</f>
        <v/>
      </c>
      <c r="P165" s="33" t="str">
        <f>IF(ISERROR(Grafik!J201),"",Grafik!J201)</f>
        <v/>
      </c>
      <c r="Q165" s="33" t="str">
        <f>IF(ISERROR(Grafik!K201),"",Grafik!K201)</f>
        <v/>
      </c>
      <c r="R165" s="33" t="str">
        <f>IF(ISERROR(Grafik!L201),"",Grafik!L201)</f>
        <v/>
      </c>
      <c r="S165" s="33" t="str">
        <f>IF(ISERROR(Grafik!M201),"",Grafik!M201)</f>
        <v/>
      </c>
      <c r="T165" s="33" t="str">
        <f>IF(ISERROR(Grafik!N201),"",Grafik!N201)</f>
        <v/>
      </c>
      <c r="U165" s="33" t="str">
        <f>IF(ISERROR(Grafik!O201),"",Grafik!O201)</f>
        <v/>
      </c>
      <c r="V165" s="33" t="str">
        <f>IF(ISERROR(Grafik!P201),"",Grafik!P201)</f>
        <v/>
      </c>
      <c r="W165" s="66"/>
      <c r="X165" s="31"/>
      <c r="Y165" s="31"/>
      <c r="Z165" s="31"/>
    </row>
    <row r="166" spans="1:26" ht="19.5" customHeight="1">
      <c r="A166" s="25"/>
      <c r="B166" s="59"/>
      <c r="C166" s="61" t="str">
        <f>IF(B166="","",DATEDIF(Person!$C$22,B166,"y"))</f>
        <v/>
      </c>
      <c r="D166" s="25"/>
      <c r="E166" s="62"/>
      <c r="F166" s="63"/>
      <c r="G166" s="64" t="str">
        <f>IF(F166="","",IF(E166="","",IF(W166="","",F166*(100%-H166/100))))</f>
        <v/>
      </c>
      <c r="H166" s="64" t="str">
        <f>IF(F166="","",IF(E166="","",IF(W166="","",$O$10*(($K$9*F166^$K$10)*($L$9*E166^$L$10)*(ABS(W166-(($J$8*E166^$J$9)*F166^$J$10+$J$7)))^$M$10)+$P$10)))</f>
        <v/>
      </c>
      <c r="I166" s="29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65" t="str">
        <f>IF(J166="","",SUM(J166:S166))</f>
        <v/>
      </c>
      <c r="X166" s="25"/>
      <c r="Y166" s="25"/>
      <c r="Z166" s="25"/>
    </row>
    <row r="167" spans="1:26" ht="19.5" customHeight="1">
      <c r="A167" s="31"/>
      <c r="B167" s="60"/>
      <c r="C167" s="60"/>
      <c r="D167" s="31"/>
      <c r="E167" s="60"/>
      <c r="F167" s="60"/>
      <c r="G167" s="60"/>
      <c r="H167" s="60"/>
      <c r="I167" s="31"/>
      <c r="J167" s="33" t="str">
        <f>IF(ISERROR(Grafik!D203),"",Grafik!D203)</f>
        <v/>
      </c>
      <c r="K167" s="33" t="str">
        <f>IF(ISERROR(Grafik!E203),"",Grafik!E203)</f>
        <v/>
      </c>
      <c r="L167" s="33" t="str">
        <f>IF(ISERROR(Grafik!F203),"",Grafik!F203)</f>
        <v/>
      </c>
      <c r="M167" s="33" t="str">
        <f>IF(ISERROR(Grafik!G203),"",Grafik!G203)</f>
        <v/>
      </c>
      <c r="N167" s="33" t="str">
        <f>IF(ISERROR(Grafik!H203),"",Grafik!H203)</f>
        <v/>
      </c>
      <c r="O167" s="33" t="str">
        <f>IF(ISERROR(Grafik!I203),"",Grafik!I203)</f>
        <v/>
      </c>
      <c r="P167" s="33" t="str">
        <f>IF(ISERROR(Grafik!J203),"",Grafik!J203)</f>
        <v/>
      </c>
      <c r="Q167" s="33" t="str">
        <f>IF(ISERROR(Grafik!K203),"",Grafik!K203)</f>
        <v/>
      </c>
      <c r="R167" s="33" t="str">
        <f>IF(ISERROR(Grafik!L203),"",Grafik!L203)</f>
        <v/>
      </c>
      <c r="S167" s="33" t="str">
        <f>IF(ISERROR(Grafik!M203),"",Grafik!M203)</f>
        <v/>
      </c>
      <c r="T167" s="33" t="str">
        <f>IF(ISERROR(Grafik!N203),"",Grafik!N203)</f>
        <v/>
      </c>
      <c r="U167" s="33" t="str">
        <f>IF(ISERROR(Grafik!O203),"",Grafik!O203)</f>
        <v/>
      </c>
      <c r="V167" s="33" t="str">
        <f>IF(ISERROR(Grafik!P203),"",Grafik!P203)</f>
        <v/>
      </c>
      <c r="W167" s="66"/>
      <c r="X167" s="31"/>
      <c r="Y167" s="31"/>
      <c r="Z167" s="31"/>
    </row>
    <row r="168" spans="1:26" ht="19.5" customHeight="1">
      <c r="A168" s="25"/>
      <c r="B168" s="59"/>
      <c r="C168" s="61" t="str">
        <f>IF(B168="","",DATEDIF(Person!$C$22,B168,"y"))</f>
        <v/>
      </c>
      <c r="D168" s="25"/>
      <c r="E168" s="62"/>
      <c r="F168" s="63"/>
      <c r="G168" s="64" t="str">
        <f>IF(F168="","",IF(E168="","",IF(W168="","",F168*(100%-H168/100))))</f>
        <v/>
      </c>
      <c r="H168" s="64" t="str">
        <f>IF(F168="","",IF(E168="","",IF(W168="","",$O$10*(($K$9*F168^$K$10)*($L$9*E168^$L$10)*(ABS(W168-(($J$8*E168^$J$9)*F168^$J$10+$J$7)))^$M$10)+$P$10)))</f>
        <v/>
      </c>
      <c r="I168" s="29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65" t="str">
        <f>IF(J168="","",SUM(J168:S168))</f>
        <v/>
      </c>
      <c r="X168" s="25"/>
      <c r="Y168" s="25"/>
      <c r="Z168" s="25"/>
    </row>
    <row r="169" spans="1:26" ht="19.5" customHeight="1">
      <c r="A169" s="31"/>
      <c r="B169" s="60"/>
      <c r="C169" s="60"/>
      <c r="D169" s="31"/>
      <c r="E169" s="60"/>
      <c r="F169" s="60"/>
      <c r="G169" s="60"/>
      <c r="H169" s="60"/>
      <c r="I169" s="31"/>
      <c r="J169" s="33" t="str">
        <f>IF(ISERROR(Grafik!D205),"",Grafik!D205)</f>
        <v/>
      </c>
      <c r="K169" s="33" t="str">
        <f>IF(ISERROR(Grafik!E205),"",Grafik!E205)</f>
        <v/>
      </c>
      <c r="L169" s="33" t="str">
        <f>IF(ISERROR(Grafik!F205),"",Grafik!F205)</f>
        <v/>
      </c>
      <c r="M169" s="33" t="str">
        <f>IF(ISERROR(Grafik!G205),"",Grafik!G205)</f>
        <v/>
      </c>
      <c r="N169" s="33" t="str">
        <f>IF(ISERROR(Grafik!H205),"",Grafik!H205)</f>
        <v/>
      </c>
      <c r="O169" s="33" t="str">
        <f>IF(ISERROR(Grafik!I205),"",Grafik!I205)</f>
        <v/>
      </c>
      <c r="P169" s="33" t="str">
        <f>IF(ISERROR(Grafik!J205),"",Grafik!J205)</f>
        <v/>
      </c>
      <c r="Q169" s="33" t="str">
        <f>IF(ISERROR(Grafik!K205),"",Grafik!K205)</f>
        <v/>
      </c>
      <c r="R169" s="33" t="str">
        <f>IF(ISERROR(Grafik!L205),"",Grafik!L205)</f>
        <v/>
      </c>
      <c r="S169" s="33" t="str">
        <f>IF(ISERROR(Grafik!M205),"",Grafik!M205)</f>
        <v/>
      </c>
      <c r="T169" s="33" t="str">
        <f>IF(ISERROR(Grafik!N205),"",Grafik!N205)</f>
        <v/>
      </c>
      <c r="U169" s="33" t="str">
        <f>IF(ISERROR(Grafik!O205),"",Grafik!O205)</f>
        <v/>
      </c>
      <c r="V169" s="33" t="str">
        <f>IF(ISERROR(Grafik!P205),"",Grafik!P205)</f>
        <v/>
      </c>
      <c r="W169" s="66"/>
      <c r="X169" s="31"/>
      <c r="Y169" s="31"/>
      <c r="Z169" s="31"/>
    </row>
    <row r="170" spans="1:26" ht="19.5" customHeight="1">
      <c r="A170" s="25"/>
      <c r="B170" s="59"/>
      <c r="C170" s="61" t="str">
        <f>IF(B170="","",DATEDIF(Person!$C$22,B170,"y"))</f>
        <v/>
      </c>
      <c r="D170" s="25"/>
      <c r="E170" s="62"/>
      <c r="F170" s="63"/>
      <c r="G170" s="64" t="str">
        <f>IF(F170="","",IF(E170="","",IF(W170="","",F170*(100%-H170/100))))</f>
        <v/>
      </c>
      <c r="H170" s="64" t="str">
        <f>IF(F170="","",IF(E170="","",IF(W170="","",$O$10*(($K$9*F170^$K$10)*($L$9*E170^$L$10)*(ABS(W170-(($J$8*E170^$J$9)*F170^$J$10+$J$7)))^$M$10)+$P$10)))</f>
        <v/>
      </c>
      <c r="I170" s="29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65" t="str">
        <f>IF(J170="","",SUM(J170:S170))</f>
        <v/>
      </c>
      <c r="X170" s="25"/>
      <c r="Y170" s="25"/>
      <c r="Z170" s="25"/>
    </row>
    <row r="171" spans="1:26" ht="19.5" customHeight="1">
      <c r="A171" s="31"/>
      <c r="B171" s="60"/>
      <c r="C171" s="60"/>
      <c r="D171" s="31"/>
      <c r="E171" s="60"/>
      <c r="F171" s="60"/>
      <c r="G171" s="60"/>
      <c r="H171" s="60"/>
      <c r="I171" s="31"/>
      <c r="J171" s="33" t="str">
        <f>IF(ISERROR(Grafik!D207),"",Grafik!D207)</f>
        <v/>
      </c>
      <c r="K171" s="33" t="str">
        <f>IF(ISERROR(Grafik!E207),"",Grafik!E207)</f>
        <v/>
      </c>
      <c r="L171" s="33" t="str">
        <f>IF(ISERROR(Grafik!F207),"",Grafik!F207)</f>
        <v/>
      </c>
      <c r="M171" s="33" t="str">
        <f>IF(ISERROR(Grafik!G207),"",Grafik!G207)</f>
        <v/>
      </c>
      <c r="N171" s="33" t="str">
        <f>IF(ISERROR(Grafik!H207),"",Grafik!H207)</f>
        <v/>
      </c>
      <c r="O171" s="33" t="str">
        <f>IF(ISERROR(Grafik!I207),"",Grafik!I207)</f>
        <v/>
      </c>
      <c r="P171" s="33" t="str">
        <f>IF(ISERROR(Grafik!J207),"",Grafik!J207)</f>
        <v/>
      </c>
      <c r="Q171" s="33" t="str">
        <f>IF(ISERROR(Grafik!K207),"",Grafik!K207)</f>
        <v/>
      </c>
      <c r="R171" s="33" t="str">
        <f>IF(ISERROR(Grafik!L207),"",Grafik!L207)</f>
        <v/>
      </c>
      <c r="S171" s="33" t="str">
        <f>IF(ISERROR(Grafik!M207),"",Grafik!M207)</f>
        <v/>
      </c>
      <c r="T171" s="33" t="str">
        <f>IF(ISERROR(Grafik!N207),"",Grafik!N207)</f>
        <v/>
      </c>
      <c r="U171" s="33" t="str">
        <f>IF(ISERROR(Grafik!O207),"",Grafik!O207)</f>
        <v/>
      </c>
      <c r="V171" s="33" t="str">
        <f>IF(ISERROR(Grafik!P207),"",Grafik!P207)</f>
        <v/>
      </c>
      <c r="W171" s="66"/>
      <c r="X171" s="31"/>
      <c r="Y171" s="31"/>
      <c r="Z171" s="31"/>
    </row>
    <row r="172" spans="1:26" ht="19.5" customHeight="1">
      <c r="A172" s="25"/>
      <c r="B172" s="59"/>
      <c r="C172" s="61" t="str">
        <f>IF(B172="","",DATEDIF(Person!$C$22,B172,"y"))</f>
        <v/>
      </c>
      <c r="D172" s="25"/>
      <c r="E172" s="62"/>
      <c r="F172" s="63"/>
      <c r="G172" s="64" t="str">
        <f>IF(F172="","",IF(E172="","",IF(W172="","",F172*(100%-H172/100))))</f>
        <v/>
      </c>
      <c r="H172" s="64" t="str">
        <f>IF(F172="","",IF(E172="","",IF(W172="","",$O$10*(($K$9*F172^$K$10)*($L$9*E172^$L$10)*(ABS(W172-(($J$8*E172^$J$9)*F172^$J$10+$J$7)))^$M$10)+$P$10)))</f>
        <v/>
      </c>
      <c r="I172" s="29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65" t="str">
        <f>IF(J172="","",SUM(J172:S172))</f>
        <v/>
      </c>
      <c r="X172" s="25"/>
      <c r="Y172" s="25"/>
      <c r="Z172" s="25"/>
    </row>
    <row r="173" spans="1:26" ht="19.5" customHeight="1">
      <c r="A173" s="31"/>
      <c r="B173" s="60"/>
      <c r="C173" s="60"/>
      <c r="D173" s="31"/>
      <c r="E173" s="60"/>
      <c r="F173" s="60"/>
      <c r="G173" s="60"/>
      <c r="H173" s="60"/>
      <c r="I173" s="31"/>
      <c r="J173" s="33" t="str">
        <f>IF(ISERROR(Grafik!D209),"",Grafik!D209)</f>
        <v/>
      </c>
      <c r="K173" s="33" t="str">
        <f>IF(ISERROR(Grafik!E209),"",Grafik!E209)</f>
        <v/>
      </c>
      <c r="L173" s="33" t="str">
        <f>IF(ISERROR(Grafik!F209),"",Grafik!F209)</f>
        <v/>
      </c>
      <c r="M173" s="33" t="str">
        <f>IF(ISERROR(Grafik!G209),"",Grafik!G209)</f>
        <v/>
      </c>
      <c r="N173" s="33" t="str">
        <f>IF(ISERROR(Grafik!H209),"",Grafik!H209)</f>
        <v/>
      </c>
      <c r="O173" s="33" t="str">
        <f>IF(ISERROR(Grafik!I209),"",Grafik!I209)</f>
        <v/>
      </c>
      <c r="P173" s="33" t="str">
        <f>IF(ISERROR(Grafik!J209),"",Grafik!J209)</f>
        <v/>
      </c>
      <c r="Q173" s="33" t="str">
        <f>IF(ISERROR(Grafik!K209),"",Grafik!K209)</f>
        <v/>
      </c>
      <c r="R173" s="33" t="str">
        <f>IF(ISERROR(Grafik!L209),"",Grafik!L209)</f>
        <v/>
      </c>
      <c r="S173" s="33" t="str">
        <f>IF(ISERROR(Grafik!M209),"",Grafik!M209)</f>
        <v/>
      </c>
      <c r="T173" s="33" t="str">
        <f>IF(ISERROR(Grafik!N209),"",Grafik!N209)</f>
        <v/>
      </c>
      <c r="U173" s="33" t="str">
        <f>IF(ISERROR(Grafik!O209),"",Grafik!O209)</f>
        <v/>
      </c>
      <c r="V173" s="33" t="str">
        <f>IF(ISERROR(Grafik!P209),"",Grafik!P209)</f>
        <v/>
      </c>
      <c r="W173" s="66"/>
      <c r="X173" s="31"/>
      <c r="Y173" s="31"/>
      <c r="Z173" s="31"/>
    </row>
    <row r="174" spans="1:26" ht="19.5" customHeight="1">
      <c r="A174" s="25"/>
      <c r="B174" s="59"/>
      <c r="C174" s="61" t="str">
        <f>IF(B174="","",DATEDIF(Person!$C$22,B174,"y"))</f>
        <v/>
      </c>
      <c r="D174" s="25"/>
      <c r="E174" s="62"/>
      <c r="F174" s="63"/>
      <c r="G174" s="64" t="str">
        <f>IF(F174="","",IF(E174="","",IF(W174="","",F174*(100%-H174/100))))</f>
        <v/>
      </c>
      <c r="H174" s="64" t="str">
        <f>IF(F174="","",IF(E174="","",IF(W174="","",$O$10*(($K$9*F174^$K$10)*($L$9*E174^$L$10)*(ABS(W174-(($J$8*E174^$J$9)*F174^$J$10+$J$7)))^$M$10)+$P$10)))</f>
        <v/>
      </c>
      <c r="I174" s="29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65" t="str">
        <f>IF(J174="","",SUM(J174:S174))</f>
        <v/>
      </c>
      <c r="X174" s="25"/>
      <c r="Y174" s="25"/>
      <c r="Z174" s="25"/>
    </row>
    <row r="175" spans="1:26" ht="19.5" customHeight="1">
      <c r="A175" s="31"/>
      <c r="B175" s="60"/>
      <c r="C175" s="60"/>
      <c r="D175" s="31"/>
      <c r="E175" s="60"/>
      <c r="F175" s="60"/>
      <c r="G175" s="60"/>
      <c r="H175" s="60"/>
      <c r="I175" s="31"/>
      <c r="J175" s="33" t="str">
        <f>IF(ISERROR(Grafik!D211),"",Grafik!D211)</f>
        <v/>
      </c>
      <c r="K175" s="33" t="str">
        <f>IF(ISERROR(Grafik!E211),"",Grafik!E211)</f>
        <v/>
      </c>
      <c r="L175" s="33" t="str">
        <f>IF(ISERROR(Grafik!F211),"",Grafik!F211)</f>
        <v/>
      </c>
      <c r="M175" s="33" t="str">
        <f>IF(ISERROR(Grafik!G211),"",Grafik!G211)</f>
        <v/>
      </c>
      <c r="N175" s="33" t="str">
        <f>IF(ISERROR(Grafik!H211),"",Grafik!H211)</f>
        <v/>
      </c>
      <c r="O175" s="33" t="str">
        <f>IF(ISERROR(Grafik!I211),"",Grafik!I211)</f>
        <v/>
      </c>
      <c r="P175" s="33" t="str">
        <f>IF(ISERROR(Grafik!J211),"",Grafik!J211)</f>
        <v/>
      </c>
      <c r="Q175" s="33" t="str">
        <f>IF(ISERROR(Grafik!K211),"",Grafik!K211)</f>
        <v/>
      </c>
      <c r="R175" s="33" t="str">
        <f>IF(ISERROR(Grafik!L211),"",Grafik!L211)</f>
        <v/>
      </c>
      <c r="S175" s="33" t="str">
        <f>IF(ISERROR(Grafik!M211),"",Grafik!M211)</f>
        <v/>
      </c>
      <c r="T175" s="33" t="str">
        <f>IF(ISERROR(Grafik!N211),"",Grafik!N211)</f>
        <v/>
      </c>
      <c r="U175" s="33" t="str">
        <f>IF(ISERROR(Grafik!O211),"",Grafik!O211)</f>
        <v/>
      </c>
      <c r="V175" s="33" t="str">
        <f>IF(ISERROR(Grafik!P211),"",Grafik!P211)</f>
        <v/>
      </c>
      <c r="W175" s="66"/>
      <c r="X175" s="31"/>
      <c r="Y175" s="31"/>
      <c r="Z175" s="31"/>
    </row>
    <row r="176" spans="1:26" ht="19.5" customHeight="1">
      <c r="A176" s="25"/>
      <c r="B176" s="59"/>
      <c r="C176" s="61" t="str">
        <f>IF(B176="","",DATEDIF(Person!$C$22,B176,"y"))</f>
        <v/>
      </c>
      <c r="D176" s="25"/>
      <c r="E176" s="62"/>
      <c r="F176" s="63"/>
      <c r="G176" s="64" t="str">
        <f>IF(F176="","",IF(E176="","",IF(W176="","",F176*(100%-H176/100))))</f>
        <v/>
      </c>
      <c r="H176" s="64" t="str">
        <f>IF(F176="","",IF(E176="","",IF(W176="","",$O$10*(($K$9*F176^$K$10)*($L$9*E176^$L$10)*(ABS(W176-(($J$8*E176^$J$9)*F176^$J$10+$J$7)))^$M$10)+$P$10)))</f>
        <v/>
      </c>
      <c r="I176" s="29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65" t="str">
        <f>IF(J176="","",SUM(J176:S176))</f>
        <v/>
      </c>
      <c r="X176" s="25"/>
      <c r="Y176" s="25"/>
      <c r="Z176" s="25"/>
    </row>
    <row r="177" spans="1:26" ht="19.5" customHeight="1">
      <c r="A177" s="31"/>
      <c r="B177" s="60"/>
      <c r="C177" s="60"/>
      <c r="D177" s="31"/>
      <c r="E177" s="60"/>
      <c r="F177" s="60"/>
      <c r="G177" s="60"/>
      <c r="H177" s="60"/>
      <c r="I177" s="31"/>
      <c r="J177" s="33" t="str">
        <f>IF(ISERROR(Grafik!D213),"",Grafik!D213)</f>
        <v/>
      </c>
      <c r="K177" s="33" t="str">
        <f>IF(ISERROR(Grafik!E213),"",Grafik!E213)</f>
        <v/>
      </c>
      <c r="L177" s="33" t="str">
        <f>IF(ISERROR(Grafik!F213),"",Grafik!F213)</f>
        <v/>
      </c>
      <c r="M177" s="33" t="str">
        <f>IF(ISERROR(Grafik!G213),"",Grafik!G213)</f>
        <v/>
      </c>
      <c r="N177" s="33" t="str">
        <f>IF(ISERROR(Grafik!H213),"",Grafik!H213)</f>
        <v/>
      </c>
      <c r="O177" s="33" t="str">
        <f>IF(ISERROR(Grafik!I213),"",Grafik!I213)</f>
        <v/>
      </c>
      <c r="P177" s="33" t="str">
        <f>IF(ISERROR(Grafik!J213),"",Grafik!J213)</f>
        <v/>
      </c>
      <c r="Q177" s="33" t="str">
        <f>IF(ISERROR(Grafik!K213),"",Grafik!K213)</f>
        <v/>
      </c>
      <c r="R177" s="33" t="str">
        <f>IF(ISERROR(Grafik!L213),"",Grafik!L213)</f>
        <v/>
      </c>
      <c r="S177" s="33" t="str">
        <f>IF(ISERROR(Grafik!M213),"",Grafik!M213)</f>
        <v/>
      </c>
      <c r="T177" s="33" t="str">
        <f>IF(ISERROR(Grafik!N213),"",Grafik!N213)</f>
        <v/>
      </c>
      <c r="U177" s="33" t="str">
        <f>IF(ISERROR(Grafik!O213),"",Grafik!O213)</f>
        <v/>
      </c>
      <c r="V177" s="33" t="str">
        <f>IF(ISERROR(Grafik!P213),"",Grafik!P213)</f>
        <v/>
      </c>
      <c r="W177" s="66"/>
      <c r="X177" s="31"/>
      <c r="Y177" s="31"/>
      <c r="Z177" s="31"/>
    </row>
    <row r="178" spans="1:26" ht="19.5" customHeight="1">
      <c r="A178" s="25"/>
      <c r="B178" s="59"/>
      <c r="C178" s="61" t="str">
        <f>IF(B178="","",DATEDIF(Person!$C$22,B178,"y"))</f>
        <v/>
      </c>
      <c r="D178" s="25"/>
      <c r="E178" s="62"/>
      <c r="F178" s="63"/>
      <c r="G178" s="64" t="str">
        <f>IF(F178="","",IF(E178="","",IF(W178="","",F178*(100%-H178/100))))</f>
        <v/>
      </c>
      <c r="H178" s="64" t="str">
        <f>IF(F178="","",IF(E178="","",IF(W178="","",$O$10*(($K$9*F178^$K$10)*($L$9*E178^$L$10)*(ABS(W178-(($J$8*E178^$J$9)*F178^$J$10+$J$7)))^$M$10)+$P$10)))</f>
        <v/>
      </c>
      <c r="I178" s="29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65" t="str">
        <f>IF(J178="","",SUM(J178:S178))</f>
        <v/>
      </c>
      <c r="X178" s="25"/>
      <c r="Y178" s="25"/>
      <c r="Z178" s="25"/>
    </row>
    <row r="179" spans="1:26" ht="19.5" customHeight="1">
      <c r="A179" s="31"/>
      <c r="B179" s="60"/>
      <c r="C179" s="60"/>
      <c r="D179" s="31"/>
      <c r="E179" s="60"/>
      <c r="F179" s="60"/>
      <c r="G179" s="60"/>
      <c r="H179" s="60"/>
      <c r="I179" s="31"/>
      <c r="J179" s="33" t="str">
        <f>IF(ISERROR(Grafik!D215),"",Grafik!D215)</f>
        <v/>
      </c>
      <c r="K179" s="33" t="str">
        <f>IF(ISERROR(Grafik!E215),"",Grafik!E215)</f>
        <v/>
      </c>
      <c r="L179" s="33" t="str">
        <f>IF(ISERROR(Grafik!F215),"",Grafik!F215)</f>
        <v/>
      </c>
      <c r="M179" s="33" t="str">
        <f>IF(ISERROR(Grafik!G215),"",Grafik!G215)</f>
        <v/>
      </c>
      <c r="N179" s="33" t="str">
        <f>IF(ISERROR(Grafik!H215),"",Grafik!H215)</f>
        <v/>
      </c>
      <c r="O179" s="33" t="str">
        <f>IF(ISERROR(Grafik!I215),"",Grafik!I215)</f>
        <v/>
      </c>
      <c r="P179" s="33" t="str">
        <f>IF(ISERROR(Grafik!J215),"",Grafik!J215)</f>
        <v/>
      </c>
      <c r="Q179" s="33" t="str">
        <f>IF(ISERROR(Grafik!K215),"",Grafik!K215)</f>
        <v/>
      </c>
      <c r="R179" s="33" t="str">
        <f>IF(ISERROR(Grafik!L215),"",Grafik!L215)</f>
        <v/>
      </c>
      <c r="S179" s="33" t="str">
        <f>IF(ISERROR(Grafik!M215),"",Grafik!M215)</f>
        <v/>
      </c>
      <c r="T179" s="33" t="str">
        <f>IF(ISERROR(Grafik!N215),"",Grafik!N215)</f>
        <v/>
      </c>
      <c r="U179" s="33" t="str">
        <f>IF(ISERROR(Grafik!O215),"",Grafik!O215)</f>
        <v/>
      </c>
      <c r="V179" s="33" t="str">
        <f>IF(ISERROR(Grafik!P215),"",Grafik!P215)</f>
        <v/>
      </c>
      <c r="W179" s="66"/>
      <c r="X179" s="31"/>
      <c r="Y179" s="31"/>
      <c r="Z179" s="31"/>
    </row>
    <row r="180" spans="1:26" ht="19.5" customHeight="1">
      <c r="A180" s="25"/>
      <c r="B180" s="59"/>
      <c r="C180" s="61" t="str">
        <f>IF(B180="","",DATEDIF(Person!$C$22,B180,"y"))</f>
        <v/>
      </c>
      <c r="D180" s="25"/>
      <c r="E180" s="62"/>
      <c r="F180" s="63"/>
      <c r="G180" s="64" t="str">
        <f>IF(F180="","",IF(E180="","",IF(W180="","",F180*(100%-H180/100))))</f>
        <v/>
      </c>
      <c r="H180" s="64" t="str">
        <f>IF(F180="","",IF(E180="","",IF(W180="","",$O$10*(($K$9*F180^$K$10)*($L$9*E180^$L$10)*(ABS(W180-(($J$8*E180^$J$9)*F180^$J$10+$J$7)))^$M$10)+$P$10)))</f>
        <v/>
      </c>
      <c r="I180" s="29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65" t="str">
        <f>IF(J180="","",SUM(J180:S180))</f>
        <v/>
      </c>
      <c r="X180" s="25"/>
      <c r="Y180" s="25"/>
      <c r="Z180" s="25"/>
    </row>
    <row r="181" spans="1:26" ht="19.5" customHeight="1">
      <c r="A181" s="31"/>
      <c r="B181" s="60"/>
      <c r="C181" s="60"/>
      <c r="D181" s="31"/>
      <c r="E181" s="60"/>
      <c r="F181" s="60"/>
      <c r="G181" s="60"/>
      <c r="H181" s="60"/>
      <c r="I181" s="31"/>
      <c r="J181" s="33" t="str">
        <f>IF(ISERROR(Grafik!D217),"",Grafik!D217)</f>
        <v/>
      </c>
      <c r="K181" s="33" t="str">
        <f>IF(ISERROR(Grafik!E217),"",Grafik!E217)</f>
        <v/>
      </c>
      <c r="L181" s="33" t="str">
        <f>IF(ISERROR(Grafik!F217),"",Grafik!F217)</f>
        <v/>
      </c>
      <c r="M181" s="33" t="str">
        <f>IF(ISERROR(Grafik!G217),"",Grafik!G217)</f>
        <v/>
      </c>
      <c r="N181" s="33" t="str">
        <f>IF(ISERROR(Grafik!H217),"",Grafik!H217)</f>
        <v/>
      </c>
      <c r="O181" s="33" t="str">
        <f>IF(ISERROR(Grafik!I217),"",Grafik!I217)</f>
        <v/>
      </c>
      <c r="P181" s="33" t="str">
        <f>IF(ISERROR(Grafik!J217),"",Grafik!J217)</f>
        <v/>
      </c>
      <c r="Q181" s="33" t="str">
        <f>IF(ISERROR(Grafik!K217),"",Grafik!K217)</f>
        <v/>
      </c>
      <c r="R181" s="33" t="str">
        <f>IF(ISERROR(Grafik!L217),"",Grafik!L217)</f>
        <v/>
      </c>
      <c r="S181" s="33" t="str">
        <f>IF(ISERROR(Grafik!M217),"",Grafik!M217)</f>
        <v/>
      </c>
      <c r="T181" s="33" t="str">
        <f>IF(ISERROR(Grafik!N217),"",Grafik!N217)</f>
        <v/>
      </c>
      <c r="U181" s="33" t="str">
        <f>IF(ISERROR(Grafik!O217),"",Grafik!O217)</f>
        <v/>
      </c>
      <c r="V181" s="33" t="str">
        <f>IF(ISERROR(Grafik!P217),"",Grafik!P217)</f>
        <v/>
      </c>
      <c r="W181" s="66"/>
      <c r="X181" s="31"/>
      <c r="Y181" s="31"/>
      <c r="Z181" s="31"/>
    </row>
    <row r="182" spans="1:26" ht="19.5" customHeight="1">
      <c r="A182" s="25"/>
      <c r="B182" s="59"/>
      <c r="C182" s="61" t="str">
        <f>IF(B182="","",DATEDIF(Person!$C$22,B182,"y"))</f>
        <v/>
      </c>
      <c r="D182" s="25"/>
      <c r="E182" s="62"/>
      <c r="F182" s="63"/>
      <c r="G182" s="64" t="str">
        <f>IF(F182="","",IF(E182="","",IF(W182="","",F182*(100%-H182/100))))</f>
        <v/>
      </c>
      <c r="H182" s="64" t="str">
        <f>IF(F182="","",IF(E182="","",IF(W182="","",$O$10*(($K$9*F182^$K$10)*($L$9*E182^$L$10)*(ABS(W182-(($J$8*E182^$J$9)*F182^$J$10+$J$7)))^$M$10)+$P$10)))</f>
        <v/>
      </c>
      <c r="I182" s="29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65" t="str">
        <f>IF(J182="","",SUM(J182:S182))</f>
        <v/>
      </c>
      <c r="X182" s="25"/>
      <c r="Y182" s="25"/>
      <c r="Z182" s="25"/>
    </row>
    <row r="183" spans="1:26" ht="19.5" customHeight="1">
      <c r="A183" s="31"/>
      <c r="B183" s="60"/>
      <c r="C183" s="60"/>
      <c r="D183" s="31"/>
      <c r="E183" s="60"/>
      <c r="F183" s="60"/>
      <c r="G183" s="60"/>
      <c r="H183" s="60"/>
      <c r="I183" s="31"/>
      <c r="J183" s="33" t="str">
        <f>IF(ISERROR(Grafik!D219),"",Grafik!D219)</f>
        <v/>
      </c>
      <c r="K183" s="33" t="str">
        <f>IF(ISERROR(Grafik!E219),"",Grafik!E219)</f>
        <v/>
      </c>
      <c r="L183" s="33" t="str">
        <f>IF(ISERROR(Grafik!F219),"",Grafik!F219)</f>
        <v/>
      </c>
      <c r="M183" s="33" t="str">
        <f>IF(ISERROR(Grafik!G219),"",Grafik!G219)</f>
        <v/>
      </c>
      <c r="N183" s="33" t="str">
        <f>IF(ISERROR(Grafik!H219),"",Grafik!H219)</f>
        <v/>
      </c>
      <c r="O183" s="33" t="str">
        <f>IF(ISERROR(Grafik!I219),"",Grafik!I219)</f>
        <v/>
      </c>
      <c r="P183" s="33" t="str">
        <f>IF(ISERROR(Grafik!J219),"",Grafik!J219)</f>
        <v/>
      </c>
      <c r="Q183" s="33" t="str">
        <f>IF(ISERROR(Grafik!K219),"",Grafik!K219)</f>
        <v/>
      </c>
      <c r="R183" s="33" t="str">
        <f>IF(ISERROR(Grafik!L219),"",Grafik!L219)</f>
        <v/>
      </c>
      <c r="S183" s="33" t="str">
        <f>IF(ISERROR(Grafik!M219),"",Grafik!M219)</f>
        <v/>
      </c>
      <c r="T183" s="33" t="str">
        <f>IF(ISERROR(Grafik!N219),"",Grafik!N219)</f>
        <v/>
      </c>
      <c r="U183" s="33" t="str">
        <f>IF(ISERROR(Grafik!O219),"",Grafik!O219)</f>
        <v/>
      </c>
      <c r="V183" s="33" t="str">
        <f>IF(ISERROR(Grafik!P219),"",Grafik!P219)</f>
        <v/>
      </c>
      <c r="W183" s="66"/>
      <c r="X183" s="31"/>
      <c r="Y183" s="31"/>
      <c r="Z183" s="31"/>
    </row>
    <row r="184" spans="1:26" ht="19.5" customHeight="1">
      <c r="A184" s="25"/>
      <c r="B184" s="59"/>
      <c r="C184" s="61" t="str">
        <f>IF(B184="","",DATEDIF(Person!$C$22,B184,"y"))</f>
        <v/>
      </c>
      <c r="D184" s="25"/>
      <c r="E184" s="62"/>
      <c r="F184" s="63"/>
      <c r="G184" s="64" t="str">
        <f>IF(F184="","",IF(E184="","",IF(W184="","",F184*(100%-H184/100))))</f>
        <v/>
      </c>
      <c r="H184" s="64" t="str">
        <f>IF(F184="","",IF(E184="","",IF(W184="","",$O$10*(($K$9*F184^$K$10)*($L$9*E184^$L$10)*(ABS(W184-(($J$8*E184^$J$9)*F184^$J$10+$J$7)))^$M$10)+$P$10)))</f>
        <v/>
      </c>
      <c r="I184" s="29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65" t="str">
        <f>IF(J184="","",SUM(J184:S184))</f>
        <v/>
      </c>
      <c r="X184" s="25"/>
      <c r="Y184" s="25"/>
      <c r="Z184" s="25"/>
    </row>
    <row r="185" spans="1:26" ht="19.5" customHeight="1">
      <c r="A185" s="31"/>
      <c r="B185" s="60"/>
      <c r="C185" s="60"/>
      <c r="D185" s="31"/>
      <c r="E185" s="60"/>
      <c r="F185" s="60"/>
      <c r="G185" s="60"/>
      <c r="H185" s="60"/>
      <c r="I185" s="31"/>
      <c r="J185" s="33" t="str">
        <f>IF(ISERROR(Grafik!D221),"",Grafik!D221)</f>
        <v/>
      </c>
      <c r="K185" s="33" t="str">
        <f>IF(ISERROR(Grafik!E221),"",Grafik!E221)</f>
        <v/>
      </c>
      <c r="L185" s="33" t="str">
        <f>IF(ISERROR(Grafik!F221),"",Grafik!F221)</f>
        <v/>
      </c>
      <c r="M185" s="33" t="str">
        <f>IF(ISERROR(Grafik!G221),"",Grafik!G221)</f>
        <v/>
      </c>
      <c r="N185" s="33" t="str">
        <f>IF(ISERROR(Grafik!H221),"",Grafik!H221)</f>
        <v/>
      </c>
      <c r="O185" s="33" t="str">
        <f>IF(ISERROR(Grafik!I221),"",Grafik!I221)</f>
        <v/>
      </c>
      <c r="P185" s="33" t="str">
        <f>IF(ISERROR(Grafik!J221),"",Grafik!J221)</f>
        <v/>
      </c>
      <c r="Q185" s="33" t="str">
        <f>IF(ISERROR(Grafik!K221),"",Grafik!K221)</f>
        <v/>
      </c>
      <c r="R185" s="33" t="str">
        <f>IF(ISERROR(Grafik!L221),"",Grafik!L221)</f>
        <v/>
      </c>
      <c r="S185" s="33" t="str">
        <f>IF(ISERROR(Grafik!M221),"",Grafik!M221)</f>
        <v/>
      </c>
      <c r="T185" s="33" t="str">
        <f>IF(ISERROR(Grafik!N221),"",Grafik!N221)</f>
        <v/>
      </c>
      <c r="U185" s="33" t="str">
        <f>IF(ISERROR(Grafik!O221),"",Grafik!O221)</f>
        <v/>
      </c>
      <c r="V185" s="33" t="str">
        <f>IF(ISERROR(Grafik!P221),"",Grafik!P221)</f>
        <v/>
      </c>
      <c r="W185" s="66"/>
      <c r="X185" s="31"/>
      <c r="Y185" s="31"/>
      <c r="Z185" s="31"/>
    </row>
    <row r="186" spans="1:26" ht="19.5" customHeight="1">
      <c r="A186" s="25"/>
      <c r="B186" s="59"/>
      <c r="C186" s="61" t="str">
        <f>IF(B186="","",DATEDIF(Person!$C$22,B186,"y"))</f>
        <v/>
      </c>
      <c r="D186" s="25"/>
      <c r="E186" s="62"/>
      <c r="F186" s="63"/>
      <c r="G186" s="64" t="str">
        <f>IF(F186="","",IF(E186="","",IF(W186="","",F186*(100%-H186/100))))</f>
        <v/>
      </c>
      <c r="H186" s="64" t="str">
        <f>IF(F186="","",IF(E186="","",IF(W186="","",$O$10*(($K$9*F186^$K$10)*($L$9*E186^$L$10)*(ABS(W186-(($J$8*E186^$J$9)*F186^$J$10+$J$7)))^$M$10)+$P$10)))</f>
        <v/>
      </c>
      <c r="I186" s="29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65" t="str">
        <f>IF(J186="","",SUM(J186:S186))</f>
        <v/>
      </c>
      <c r="X186" s="25"/>
      <c r="Y186" s="25"/>
      <c r="Z186" s="25"/>
    </row>
    <row r="187" spans="1:26" ht="19.5" customHeight="1">
      <c r="A187" s="31"/>
      <c r="B187" s="60"/>
      <c r="C187" s="60"/>
      <c r="D187" s="31"/>
      <c r="E187" s="60"/>
      <c r="F187" s="60"/>
      <c r="G187" s="60"/>
      <c r="H187" s="60"/>
      <c r="I187" s="31"/>
      <c r="J187" s="33" t="str">
        <f>IF(ISERROR(Grafik!D223),"",Grafik!D223)</f>
        <v/>
      </c>
      <c r="K187" s="33" t="str">
        <f>IF(ISERROR(Grafik!E223),"",Grafik!E223)</f>
        <v/>
      </c>
      <c r="L187" s="33" t="str">
        <f>IF(ISERROR(Grafik!F223),"",Grafik!F223)</f>
        <v/>
      </c>
      <c r="M187" s="33" t="str">
        <f>IF(ISERROR(Grafik!G223),"",Grafik!G223)</f>
        <v/>
      </c>
      <c r="N187" s="33" t="str">
        <f>IF(ISERROR(Grafik!H223),"",Grafik!H223)</f>
        <v/>
      </c>
      <c r="O187" s="33" t="str">
        <f>IF(ISERROR(Grafik!I223),"",Grafik!I223)</f>
        <v/>
      </c>
      <c r="P187" s="33" t="str">
        <f>IF(ISERROR(Grafik!J223),"",Grafik!J223)</f>
        <v/>
      </c>
      <c r="Q187" s="33" t="str">
        <f>IF(ISERROR(Grafik!K223),"",Grafik!K223)</f>
        <v/>
      </c>
      <c r="R187" s="33" t="str">
        <f>IF(ISERROR(Grafik!L223),"",Grafik!L223)</f>
        <v/>
      </c>
      <c r="S187" s="33" t="str">
        <f>IF(ISERROR(Grafik!M223),"",Grafik!M223)</f>
        <v/>
      </c>
      <c r="T187" s="33" t="str">
        <f>IF(ISERROR(Grafik!N223),"",Grafik!N223)</f>
        <v/>
      </c>
      <c r="U187" s="33" t="str">
        <f>IF(ISERROR(Grafik!O223),"",Grafik!O223)</f>
        <v/>
      </c>
      <c r="V187" s="33" t="str">
        <f>IF(ISERROR(Grafik!P223),"",Grafik!P223)</f>
        <v/>
      </c>
      <c r="W187" s="66"/>
      <c r="X187" s="31"/>
      <c r="Y187" s="31"/>
      <c r="Z187" s="31"/>
    </row>
    <row r="188" spans="1:26" ht="19.5" customHeight="1">
      <c r="A188" s="25"/>
      <c r="B188" s="59"/>
      <c r="C188" s="61" t="str">
        <f>IF(B188="","",DATEDIF(Person!$C$22,B188,"y"))</f>
        <v/>
      </c>
      <c r="D188" s="25"/>
      <c r="E188" s="62"/>
      <c r="F188" s="63"/>
      <c r="G188" s="64" t="str">
        <f>IF(F188="","",IF(E188="","",IF(W188="","",F188*(100%-H188/100))))</f>
        <v/>
      </c>
      <c r="H188" s="64" t="str">
        <f>IF(F188="","",IF(E188="","",IF(W188="","",$O$10*(($K$9*F188^$K$10)*($L$9*E188^$L$10)*(ABS(W188-(($J$8*E188^$J$9)*F188^$J$10+$J$7)))^$M$10)+$P$10)))</f>
        <v/>
      </c>
      <c r="I188" s="29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65" t="str">
        <f>IF(J188="","",SUM(J188:S188))</f>
        <v/>
      </c>
      <c r="X188" s="25"/>
      <c r="Y188" s="25"/>
      <c r="Z188" s="25"/>
    </row>
    <row r="189" spans="1:26" ht="19.5" customHeight="1">
      <c r="A189" s="31"/>
      <c r="B189" s="60"/>
      <c r="C189" s="60"/>
      <c r="D189" s="31"/>
      <c r="E189" s="60"/>
      <c r="F189" s="60"/>
      <c r="G189" s="60"/>
      <c r="H189" s="60"/>
      <c r="I189" s="31"/>
      <c r="J189" s="33" t="str">
        <f>IF(ISERROR(Grafik!D225),"",Grafik!D225)</f>
        <v/>
      </c>
      <c r="K189" s="33" t="str">
        <f>IF(ISERROR(Grafik!E225),"",Grafik!E225)</f>
        <v/>
      </c>
      <c r="L189" s="33" t="str">
        <f>IF(ISERROR(Grafik!F225),"",Grafik!F225)</f>
        <v/>
      </c>
      <c r="M189" s="33" t="str">
        <f>IF(ISERROR(Grafik!G225),"",Grafik!G225)</f>
        <v/>
      </c>
      <c r="N189" s="33" t="str">
        <f>IF(ISERROR(Grafik!H225),"",Grafik!H225)</f>
        <v/>
      </c>
      <c r="O189" s="33" t="str">
        <f>IF(ISERROR(Grafik!I225),"",Grafik!I225)</f>
        <v/>
      </c>
      <c r="P189" s="33" t="str">
        <f>IF(ISERROR(Grafik!J225),"",Grafik!J225)</f>
        <v/>
      </c>
      <c r="Q189" s="33" t="str">
        <f>IF(ISERROR(Grafik!K225),"",Grafik!K225)</f>
        <v/>
      </c>
      <c r="R189" s="33" t="str">
        <f>IF(ISERROR(Grafik!L225),"",Grafik!L225)</f>
        <v/>
      </c>
      <c r="S189" s="33" t="str">
        <f>IF(ISERROR(Grafik!M225),"",Grafik!M225)</f>
        <v/>
      </c>
      <c r="T189" s="33" t="str">
        <f>IF(ISERROR(Grafik!N225),"",Grafik!N225)</f>
        <v/>
      </c>
      <c r="U189" s="33" t="str">
        <f>IF(ISERROR(Grafik!O225),"",Grafik!O225)</f>
        <v/>
      </c>
      <c r="V189" s="33" t="str">
        <f>IF(ISERROR(Grafik!P225),"",Grafik!P225)</f>
        <v/>
      </c>
      <c r="W189" s="66"/>
      <c r="X189" s="31"/>
      <c r="Y189" s="31"/>
      <c r="Z189" s="31"/>
    </row>
    <row r="190" spans="1:26" ht="19.5" customHeight="1">
      <c r="A190" s="25"/>
      <c r="B190" s="59"/>
      <c r="C190" s="61" t="str">
        <f>IF(B190="","",DATEDIF(Person!$C$22,B190,"y"))</f>
        <v/>
      </c>
      <c r="D190" s="25"/>
      <c r="E190" s="62"/>
      <c r="F190" s="63"/>
      <c r="G190" s="64" t="str">
        <f>IF(F190="","",IF(E190="","",IF(W190="","",F190*(100%-H190/100))))</f>
        <v/>
      </c>
      <c r="H190" s="64" t="str">
        <f>IF(F190="","",IF(E190="","",IF(W190="","",$O$10*(($K$9*F190^$K$10)*($L$9*E190^$L$10)*(ABS(W190-(($J$8*E190^$J$9)*F190^$J$10+$J$7)))^$M$10)+$P$10)))</f>
        <v/>
      </c>
      <c r="I190" s="29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65" t="str">
        <f>IF(J190="","",SUM(J190:S190))</f>
        <v/>
      </c>
      <c r="X190" s="25"/>
      <c r="Y190" s="25"/>
      <c r="Z190" s="25"/>
    </row>
    <row r="191" spans="1:26" ht="19.5" customHeight="1">
      <c r="A191" s="31"/>
      <c r="B191" s="60"/>
      <c r="C191" s="60"/>
      <c r="D191" s="31"/>
      <c r="E191" s="60"/>
      <c r="F191" s="60"/>
      <c r="G191" s="60"/>
      <c r="H191" s="60"/>
      <c r="I191" s="31"/>
      <c r="J191" s="33" t="str">
        <f>IF(ISERROR(Grafik!D227),"",Grafik!D227)</f>
        <v/>
      </c>
      <c r="K191" s="33" t="str">
        <f>IF(ISERROR(Grafik!E227),"",Grafik!E227)</f>
        <v/>
      </c>
      <c r="L191" s="33" t="str">
        <f>IF(ISERROR(Grafik!F227),"",Grafik!F227)</f>
        <v/>
      </c>
      <c r="M191" s="33" t="str">
        <f>IF(ISERROR(Grafik!G227),"",Grafik!G227)</f>
        <v/>
      </c>
      <c r="N191" s="33" t="str">
        <f>IF(ISERROR(Grafik!H227),"",Grafik!H227)</f>
        <v/>
      </c>
      <c r="O191" s="33" t="str">
        <f>IF(ISERROR(Grafik!I227),"",Grafik!I227)</f>
        <v/>
      </c>
      <c r="P191" s="33" t="str">
        <f>IF(ISERROR(Grafik!J227),"",Grafik!J227)</f>
        <v/>
      </c>
      <c r="Q191" s="33" t="str">
        <f>IF(ISERROR(Grafik!K227),"",Grafik!K227)</f>
        <v/>
      </c>
      <c r="R191" s="33" t="str">
        <f>IF(ISERROR(Grafik!L227),"",Grafik!L227)</f>
        <v/>
      </c>
      <c r="S191" s="33" t="str">
        <f>IF(ISERROR(Grafik!M227),"",Grafik!M227)</f>
        <v/>
      </c>
      <c r="T191" s="33" t="str">
        <f>IF(ISERROR(Grafik!N227),"",Grafik!N227)</f>
        <v/>
      </c>
      <c r="U191" s="33" t="str">
        <f>IF(ISERROR(Grafik!O227),"",Grafik!O227)</f>
        <v/>
      </c>
      <c r="V191" s="33" t="str">
        <f>IF(ISERROR(Grafik!P227),"",Grafik!P227)</f>
        <v/>
      </c>
      <c r="W191" s="66"/>
      <c r="X191" s="31"/>
      <c r="Y191" s="31"/>
      <c r="Z191" s="31"/>
    </row>
    <row r="192" spans="1:26" ht="19.5" customHeight="1">
      <c r="A192" s="25"/>
      <c r="B192" s="59"/>
      <c r="C192" s="61" t="str">
        <f>IF(B192="","",DATEDIF(Person!$C$22,B192,"y"))</f>
        <v/>
      </c>
      <c r="D192" s="25"/>
      <c r="E192" s="62"/>
      <c r="F192" s="63"/>
      <c r="G192" s="64" t="str">
        <f>IF(F192="","",IF(E192="","",IF(W192="","",F192*(100%-H192/100))))</f>
        <v/>
      </c>
      <c r="H192" s="64" t="str">
        <f>IF(F192="","",IF(E192="","",IF(W192="","",$O$10*(($K$9*F192^$K$10)*($L$9*E192^$L$10)*(ABS(W192-(($J$8*E192^$J$9)*F192^$J$10+$J$7)))^$M$10)+$P$10)))</f>
        <v/>
      </c>
      <c r="I192" s="29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65" t="str">
        <f>IF(J192="","",SUM(J192:S192))</f>
        <v/>
      </c>
      <c r="X192" s="25"/>
      <c r="Y192" s="25"/>
      <c r="Z192" s="25"/>
    </row>
    <row r="193" spans="1:26" ht="19.5" customHeight="1">
      <c r="A193" s="31"/>
      <c r="B193" s="60"/>
      <c r="C193" s="60"/>
      <c r="D193" s="31"/>
      <c r="E193" s="60"/>
      <c r="F193" s="60"/>
      <c r="G193" s="60"/>
      <c r="H193" s="60"/>
      <c r="I193" s="31"/>
      <c r="J193" s="33" t="str">
        <f>IF(ISERROR(Grafik!D229),"",Grafik!D229)</f>
        <v/>
      </c>
      <c r="K193" s="33" t="str">
        <f>IF(ISERROR(Grafik!E229),"",Grafik!E229)</f>
        <v/>
      </c>
      <c r="L193" s="33" t="str">
        <f>IF(ISERROR(Grafik!F229),"",Grafik!F229)</f>
        <v/>
      </c>
      <c r="M193" s="33" t="str">
        <f>IF(ISERROR(Grafik!G229),"",Grafik!G229)</f>
        <v/>
      </c>
      <c r="N193" s="33" t="str">
        <f>IF(ISERROR(Grafik!H229),"",Grafik!H229)</f>
        <v/>
      </c>
      <c r="O193" s="33" t="str">
        <f>IF(ISERROR(Grafik!I229),"",Grafik!I229)</f>
        <v/>
      </c>
      <c r="P193" s="33" t="str">
        <f>IF(ISERROR(Grafik!J229),"",Grafik!J229)</f>
        <v/>
      </c>
      <c r="Q193" s="33" t="str">
        <f>IF(ISERROR(Grafik!K229),"",Grafik!K229)</f>
        <v/>
      </c>
      <c r="R193" s="33" t="str">
        <f>IF(ISERROR(Grafik!L229),"",Grafik!L229)</f>
        <v/>
      </c>
      <c r="S193" s="33" t="str">
        <f>IF(ISERROR(Grafik!M229),"",Grafik!M229)</f>
        <v/>
      </c>
      <c r="T193" s="33" t="str">
        <f>IF(ISERROR(Grafik!N229),"",Grafik!N229)</f>
        <v/>
      </c>
      <c r="U193" s="33" t="str">
        <f>IF(ISERROR(Grafik!O229),"",Grafik!O229)</f>
        <v/>
      </c>
      <c r="V193" s="33" t="str">
        <f>IF(ISERROR(Grafik!P229),"",Grafik!P229)</f>
        <v/>
      </c>
      <c r="W193" s="66"/>
      <c r="X193" s="31"/>
      <c r="Y193" s="31"/>
      <c r="Z193" s="31"/>
    </row>
    <row r="194" spans="1:26" ht="19.5" customHeight="1">
      <c r="A194" s="25"/>
      <c r="B194" s="59"/>
      <c r="C194" s="61" t="str">
        <f>IF(B194="","",DATEDIF(Person!$C$22,B194,"y"))</f>
        <v/>
      </c>
      <c r="D194" s="25"/>
      <c r="E194" s="62"/>
      <c r="F194" s="63"/>
      <c r="G194" s="64" t="str">
        <f>IF(F194="","",IF(E194="","",IF(W194="","",F194*(100%-H194/100))))</f>
        <v/>
      </c>
      <c r="H194" s="64" t="str">
        <f>IF(F194="","",IF(E194="","",IF(W194="","",$O$10*(($K$9*F194^$K$10)*($L$9*E194^$L$10)*(ABS(W194-(($J$8*E194^$J$9)*F194^$J$10+$J$7)))^$M$10)+$P$10)))</f>
        <v/>
      </c>
      <c r="I194" s="29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65" t="str">
        <f>IF(J194="","",SUM(J194:S194))</f>
        <v/>
      </c>
      <c r="X194" s="25"/>
      <c r="Y194" s="25"/>
      <c r="Z194" s="25"/>
    </row>
    <row r="195" spans="1:26" ht="19.5" customHeight="1">
      <c r="A195" s="31"/>
      <c r="B195" s="60"/>
      <c r="C195" s="60"/>
      <c r="D195" s="31"/>
      <c r="E195" s="60"/>
      <c r="F195" s="60"/>
      <c r="G195" s="60"/>
      <c r="H195" s="60"/>
      <c r="I195" s="31"/>
      <c r="J195" s="33" t="str">
        <f>IF(ISERROR(Grafik!D231),"",Grafik!D231)</f>
        <v/>
      </c>
      <c r="K195" s="33" t="str">
        <f>IF(ISERROR(Grafik!E231),"",Grafik!E231)</f>
        <v/>
      </c>
      <c r="L195" s="33" t="str">
        <f>IF(ISERROR(Grafik!F231),"",Grafik!F231)</f>
        <v/>
      </c>
      <c r="M195" s="33" t="str">
        <f>IF(ISERROR(Grafik!G231),"",Grafik!G231)</f>
        <v/>
      </c>
      <c r="N195" s="33" t="str">
        <f>IF(ISERROR(Grafik!H231),"",Grafik!H231)</f>
        <v/>
      </c>
      <c r="O195" s="33" t="str">
        <f>IF(ISERROR(Grafik!I231),"",Grafik!I231)</f>
        <v/>
      </c>
      <c r="P195" s="33" t="str">
        <f>IF(ISERROR(Grafik!J231),"",Grafik!J231)</f>
        <v/>
      </c>
      <c r="Q195" s="33" t="str">
        <f>IF(ISERROR(Grafik!K231),"",Grafik!K231)</f>
        <v/>
      </c>
      <c r="R195" s="33" t="str">
        <f>IF(ISERROR(Grafik!L231),"",Grafik!L231)</f>
        <v/>
      </c>
      <c r="S195" s="33" t="str">
        <f>IF(ISERROR(Grafik!M231),"",Grafik!M231)</f>
        <v/>
      </c>
      <c r="T195" s="33" t="str">
        <f>IF(ISERROR(Grafik!N231),"",Grafik!N231)</f>
        <v/>
      </c>
      <c r="U195" s="33" t="str">
        <f>IF(ISERROR(Grafik!O231),"",Grafik!O231)</f>
        <v/>
      </c>
      <c r="V195" s="33" t="str">
        <f>IF(ISERROR(Grafik!P231),"",Grafik!P231)</f>
        <v/>
      </c>
      <c r="W195" s="66"/>
      <c r="X195" s="31"/>
      <c r="Y195" s="31"/>
      <c r="Z195" s="31"/>
    </row>
    <row r="196" spans="1:26" ht="19.5" customHeight="1">
      <c r="A196" s="25"/>
      <c r="B196" s="59"/>
      <c r="C196" s="61" t="str">
        <f>IF(B196="","",DATEDIF(Person!$C$22,B196,"y"))</f>
        <v/>
      </c>
      <c r="D196" s="25"/>
      <c r="E196" s="62"/>
      <c r="F196" s="63"/>
      <c r="G196" s="64" t="str">
        <f>IF(F196="","",IF(E196="","",IF(W196="","",F196*(100%-H196/100))))</f>
        <v/>
      </c>
      <c r="H196" s="64" t="str">
        <f>IF(F196="","",IF(E196="","",IF(W196="","",$O$10*(($K$9*F196^$K$10)*($L$9*E196^$L$10)*(ABS(W196-(($J$8*E196^$J$9)*F196^$J$10+$J$7)))^$M$10)+$P$10)))</f>
        <v/>
      </c>
      <c r="I196" s="29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65" t="str">
        <f>IF(J196="","",SUM(J196:S196))</f>
        <v/>
      </c>
      <c r="X196" s="25"/>
      <c r="Y196" s="25"/>
      <c r="Z196" s="25"/>
    </row>
    <row r="197" spans="1:26" ht="19.5" customHeight="1">
      <c r="A197" s="31"/>
      <c r="B197" s="60"/>
      <c r="C197" s="60"/>
      <c r="D197" s="31"/>
      <c r="E197" s="60"/>
      <c r="F197" s="60"/>
      <c r="G197" s="60"/>
      <c r="H197" s="60"/>
      <c r="I197" s="31"/>
      <c r="J197" s="33" t="str">
        <f>IF(ISERROR(Grafik!D233),"",Grafik!D233)</f>
        <v/>
      </c>
      <c r="K197" s="33" t="str">
        <f>IF(ISERROR(Grafik!E233),"",Grafik!E233)</f>
        <v/>
      </c>
      <c r="L197" s="33" t="str">
        <f>IF(ISERROR(Grafik!F233),"",Grafik!F233)</f>
        <v/>
      </c>
      <c r="M197" s="33" t="str">
        <f>IF(ISERROR(Grafik!G233),"",Grafik!G233)</f>
        <v/>
      </c>
      <c r="N197" s="33" t="str">
        <f>IF(ISERROR(Grafik!H233),"",Grafik!H233)</f>
        <v/>
      </c>
      <c r="O197" s="33" t="str">
        <f>IF(ISERROR(Grafik!I233),"",Grafik!I233)</f>
        <v/>
      </c>
      <c r="P197" s="33" t="str">
        <f>IF(ISERROR(Grafik!J233),"",Grafik!J233)</f>
        <v/>
      </c>
      <c r="Q197" s="33" t="str">
        <f>IF(ISERROR(Grafik!K233),"",Grafik!K233)</f>
        <v/>
      </c>
      <c r="R197" s="33" t="str">
        <f>IF(ISERROR(Grafik!L233),"",Grafik!L233)</f>
        <v/>
      </c>
      <c r="S197" s="33" t="str">
        <f>IF(ISERROR(Grafik!M233),"",Grafik!M233)</f>
        <v/>
      </c>
      <c r="T197" s="33" t="str">
        <f>IF(ISERROR(Grafik!N233),"",Grafik!N233)</f>
        <v/>
      </c>
      <c r="U197" s="33" t="str">
        <f>IF(ISERROR(Grafik!O233),"",Grafik!O233)</f>
        <v/>
      </c>
      <c r="V197" s="33" t="str">
        <f>IF(ISERROR(Grafik!P233),"",Grafik!P233)</f>
        <v/>
      </c>
      <c r="W197" s="66"/>
      <c r="X197" s="31"/>
      <c r="Y197" s="31"/>
      <c r="Z197" s="31"/>
    </row>
    <row r="198" spans="1:26" ht="19.5" customHeight="1">
      <c r="A198" s="25"/>
      <c r="B198" s="59"/>
      <c r="C198" s="61" t="str">
        <f>IF(B198="","",DATEDIF(Person!$C$22,B198,"y"))</f>
        <v/>
      </c>
      <c r="D198" s="25"/>
      <c r="E198" s="62"/>
      <c r="F198" s="63"/>
      <c r="G198" s="64" t="str">
        <f>IF(F198="","",IF(E198="","",IF(W198="","",F198*(100%-H198/100))))</f>
        <v/>
      </c>
      <c r="H198" s="64" t="str">
        <f>IF(F198="","",IF(E198="","",IF(W198="","",$O$10*(($K$9*F198^$K$10)*($L$9*E198^$L$10)*(ABS(W198-(($J$8*E198^$J$9)*F198^$J$10+$J$7)))^$M$10)+$P$10)))</f>
        <v/>
      </c>
      <c r="I198" s="29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65" t="str">
        <f>IF(J198="","",SUM(J198:S198))</f>
        <v/>
      </c>
      <c r="X198" s="25"/>
      <c r="Y198" s="25"/>
      <c r="Z198" s="25"/>
    </row>
    <row r="199" spans="1:26" ht="19.5" customHeight="1">
      <c r="A199" s="31"/>
      <c r="B199" s="60"/>
      <c r="C199" s="60"/>
      <c r="D199" s="31"/>
      <c r="E199" s="60"/>
      <c r="F199" s="60"/>
      <c r="G199" s="60"/>
      <c r="H199" s="60"/>
      <c r="I199" s="31"/>
      <c r="J199" s="33" t="str">
        <f>IF(ISERROR(Grafik!D235),"",Grafik!D235)</f>
        <v/>
      </c>
      <c r="K199" s="33" t="str">
        <f>IF(ISERROR(Grafik!E235),"",Grafik!E235)</f>
        <v/>
      </c>
      <c r="L199" s="33" t="str">
        <f>IF(ISERROR(Grafik!F235),"",Grafik!F235)</f>
        <v/>
      </c>
      <c r="M199" s="33" t="str">
        <f>IF(ISERROR(Grafik!G235),"",Grafik!G235)</f>
        <v/>
      </c>
      <c r="N199" s="33" t="str">
        <f>IF(ISERROR(Grafik!H235),"",Grafik!H235)</f>
        <v/>
      </c>
      <c r="O199" s="33" t="str">
        <f>IF(ISERROR(Grafik!I235),"",Grafik!I235)</f>
        <v/>
      </c>
      <c r="P199" s="33" t="str">
        <f>IF(ISERROR(Grafik!J235),"",Grafik!J235)</f>
        <v/>
      </c>
      <c r="Q199" s="33" t="str">
        <f>IF(ISERROR(Grafik!K235),"",Grafik!K235)</f>
        <v/>
      </c>
      <c r="R199" s="33" t="str">
        <f>IF(ISERROR(Grafik!L235),"",Grafik!L235)</f>
        <v/>
      </c>
      <c r="S199" s="33" t="str">
        <f>IF(ISERROR(Grafik!M235),"",Grafik!M235)</f>
        <v/>
      </c>
      <c r="T199" s="33" t="str">
        <f>IF(ISERROR(Grafik!N235),"",Grafik!N235)</f>
        <v/>
      </c>
      <c r="U199" s="33" t="str">
        <f>IF(ISERROR(Grafik!O235),"",Grafik!O235)</f>
        <v/>
      </c>
      <c r="V199" s="33" t="str">
        <f>IF(ISERROR(Grafik!P235),"",Grafik!P235)</f>
        <v/>
      </c>
      <c r="W199" s="66"/>
      <c r="X199" s="31"/>
      <c r="Y199" s="31"/>
      <c r="Z199" s="31"/>
    </row>
    <row r="200" spans="1:26" ht="19.5" customHeight="1">
      <c r="A200" s="25"/>
      <c r="B200" s="59"/>
      <c r="C200" s="61" t="str">
        <f>IF(B200="","",DATEDIF(Person!$C$22,B200,"y"))</f>
        <v/>
      </c>
      <c r="D200" s="25"/>
      <c r="E200" s="62"/>
      <c r="F200" s="63"/>
      <c r="G200" s="64" t="str">
        <f>IF(F200="","",IF(E200="","",IF(W200="","",F200*(100%-H200/100))))</f>
        <v/>
      </c>
      <c r="H200" s="64" t="str">
        <f>IF(F200="","",IF(E200="","",IF(W200="","",$O$10*(($K$9*F200^$K$10)*($L$9*E200^$L$10)*(ABS(W200-(($J$8*E200^$J$9)*F200^$J$10+$J$7)))^$M$10)+$P$10)))</f>
        <v/>
      </c>
      <c r="I200" s="29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65" t="str">
        <f>IF(J200="","",SUM(J200:S200))</f>
        <v/>
      </c>
      <c r="X200" s="25"/>
      <c r="Y200" s="25"/>
      <c r="Z200" s="25"/>
    </row>
    <row r="201" spans="1:26" ht="19.5" customHeight="1">
      <c r="A201" s="31"/>
      <c r="B201" s="60"/>
      <c r="C201" s="60"/>
      <c r="D201" s="31"/>
      <c r="E201" s="60"/>
      <c r="F201" s="60"/>
      <c r="G201" s="60"/>
      <c r="H201" s="60"/>
      <c r="I201" s="31"/>
      <c r="J201" s="33" t="str">
        <f>IF(ISERROR(Grafik!D237),"",Grafik!D237)</f>
        <v/>
      </c>
      <c r="K201" s="33" t="str">
        <f>IF(ISERROR(Grafik!E237),"",Grafik!E237)</f>
        <v/>
      </c>
      <c r="L201" s="33" t="str">
        <f>IF(ISERROR(Grafik!F237),"",Grafik!F237)</f>
        <v/>
      </c>
      <c r="M201" s="33" t="str">
        <f>IF(ISERROR(Grafik!G237),"",Grafik!G237)</f>
        <v/>
      </c>
      <c r="N201" s="33" t="str">
        <f>IF(ISERROR(Grafik!H237),"",Grafik!H237)</f>
        <v/>
      </c>
      <c r="O201" s="33" t="str">
        <f>IF(ISERROR(Grafik!I237),"",Grafik!I237)</f>
        <v/>
      </c>
      <c r="P201" s="33" t="str">
        <f>IF(ISERROR(Grafik!J237),"",Grafik!J237)</f>
        <v/>
      </c>
      <c r="Q201" s="33" t="str">
        <f>IF(ISERROR(Grafik!K237),"",Grafik!K237)</f>
        <v/>
      </c>
      <c r="R201" s="33" t="str">
        <f>IF(ISERROR(Grafik!L237),"",Grafik!L237)</f>
        <v/>
      </c>
      <c r="S201" s="33" t="str">
        <f>IF(ISERROR(Grafik!M237),"",Grafik!M237)</f>
        <v/>
      </c>
      <c r="T201" s="33" t="str">
        <f>IF(ISERROR(Grafik!N237),"",Grafik!N237)</f>
        <v/>
      </c>
      <c r="U201" s="33" t="str">
        <f>IF(ISERROR(Grafik!O237),"",Grafik!O237)</f>
        <v/>
      </c>
      <c r="V201" s="33" t="str">
        <f>IF(ISERROR(Grafik!P237),"",Grafik!P237)</f>
        <v/>
      </c>
      <c r="W201" s="66"/>
      <c r="X201" s="31"/>
      <c r="Y201" s="31"/>
      <c r="Z201" s="31"/>
    </row>
    <row r="202" spans="1:26" ht="19.5" customHeight="1">
      <c r="A202" s="25"/>
      <c r="B202" s="59"/>
      <c r="C202" s="61" t="str">
        <f>IF(B202="","",DATEDIF(Person!$C$22,B202,"y"))</f>
        <v/>
      </c>
      <c r="D202" s="25"/>
      <c r="E202" s="62"/>
      <c r="F202" s="63"/>
      <c r="G202" s="64" t="str">
        <f>IF(F202="","",IF(E202="","",IF(W202="","",F202*(100%-H202/100))))</f>
        <v/>
      </c>
      <c r="H202" s="64" t="str">
        <f>IF(F202="","",IF(E202="","",IF(W202="","",$O$10*(($K$9*F202^$K$10)*($L$9*E202^$L$10)*(ABS(W202-(($J$8*E202^$J$9)*F202^$J$10+$J$7)))^$M$10)+$P$10)))</f>
        <v/>
      </c>
      <c r="I202" s="29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65" t="str">
        <f>IF(J202="","",SUM(J202:S202))</f>
        <v/>
      </c>
      <c r="X202" s="25"/>
      <c r="Y202" s="25"/>
      <c r="Z202" s="25"/>
    </row>
    <row r="203" spans="1:26" ht="19.5" customHeight="1">
      <c r="A203" s="31"/>
      <c r="B203" s="60"/>
      <c r="C203" s="60"/>
      <c r="D203" s="31"/>
      <c r="E203" s="60"/>
      <c r="F203" s="60"/>
      <c r="G203" s="60"/>
      <c r="H203" s="60"/>
      <c r="I203" s="31"/>
      <c r="J203" s="33" t="str">
        <f>IF(ISERROR(Grafik!D239),"",Grafik!D239)</f>
        <v/>
      </c>
      <c r="K203" s="33" t="str">
        <f>IF(ISERROR(Grafik!E239),"",Grafik!E239)</f>
        <v/>
      </c>
      <c r="L203" s="33" t="str">
        <f>IF(ISERROR(Grafik!F239),"",Grafik!F239)</f>
        <v/>
      </c>
      <c r="M203" s="33" t="str">
        <f>IF(ISERROR(Grafik!G239),"",Grafik!G239)</f>
        <v/>
      </c>
      <c r="N203" s="33" t="str">
        <f>IF(ISERROR(Grafik!H239),"",Grafik!H239)</f>
        <v/>
      </c>
      <c r="O203" s="33" t="str">
        <f>IF(ISERROR(Grafik!I239),"",Grafik!I239)</f>
        <v/>
      </c>
      <c r="P203" s="33" t="str">
        <f>IF(ISERROR(Grafik!J239),"",Grafik!J239)</f>
        <v/>
      </c>
      <c r="Q203" s="33" t="str">
        <f>IF(ISERROR(Grafik!K239),"",Grafik!K239)</f>
        <v/>
      </c>
      <c r="R203" s="33" t="str">
        <f>IF(ISERROR(Grafik!L239),"",Grafik!L239)</f>
        <v/>
      </c>
      <c r="S203" s="33" t="str">
        <f>IF(ISERROR(Grafik!M239),"",Grafik!M239)</f>
        <v/>
      </c>
      <c r="T203" s="33" t="str">
        <f>IF(ISERROR(Grafik!N239),"",Grafik!N239)</f>
        <v/>
      </c>
      <c r="U203" s="33" t="str">
        <f>IF(ISERROR(Grafik!O239),"",Grafik!O239)</f>
        <v/>
      </c>
      <c r="V203" s="33" t="str">
        <f>IF(ISERROR(Grafik!P239),"",Grafik!P239)</f>
        <v/>
      </c>
      <c r="W203" s="66"/>
      <c r="X203" s="31"/>
      <c r="Y203" s="31"/>
      <c r="Z203" s="31"/>
    </row>
    <row r="204" spans="1:26" ht="19.5" customHeight="1">
      <c r="A204" s="25"/>
      <c r="B204" s="59"/>
      <c r="C204" s="61" t="str">
        <f>IF(B204="","",DATEDIF(Person!$C$22,B204,"y"))</f>
        <v/>
      </c>
      <c r="D204" s="25"/>
      <c r="E204" s="62"/>
      <c r="F204" s="63"/>
      <c r="G204" s="64" t="str">
        <f>IF(F204="","",IF(E204="","",IF(W204="","",F204*(100%-H204/100))))</f>
        <v/>
      </c>
      <c r="H204" s="64" t="str">
        <f>IF(F204="","",IF(E204="","",IF(W204="","",$O$10*(($K$9*F204^$K$10)*($L$9*E204^$L$10)*(ABS(W204-(($J$8*E204^$J$9)*F204^$J$10+$J$7)))^$M$10)+$P$10)))</f>
        <v/>
      </c>
      <c r="I204" s="29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65" t="str">
        <f>IF(J204="","",SUM(J204:S204))</f>
        <v/>
      </c>
      <c r="X204" s="25"/>
      <c r="Y204" s="25"/>
      <c r="Z204" s="25"/>
    </row>
    <row r="205" spans="1:26" ht="19.5" customHeight="1">
      <c r="A205" s="31"/>
      <c r="B205" s="60"/>
      <c r="C205" s="60"/>
      <c r="D205" s="31"/>
      <c r="E205" s="60"/>
      <c r="F205" s="60"/>
      <c r="G205" s="60"/>
      <c r="H205" s="60"/>
      <c r="I205" s="31"/>
      <c r="J205" s="33" t="str">
        <f>IF(ISERROR(Grafik!D241),"",Grafik!D241)</f>
        <v/>
      </c>
      <c r="K205" s="33" t="str">
        <f>IF(ISERROR(Grafik!E241),"",Grafik!E241)</f>
        <v/>
      </c>
      <c r="L205" s="33" t="str">
        <f>IF(ISERROR(Grafik!F241),"",Grafik!F241)</f>
        <v/>
      </c>
      <c r="M205" s="33" t="str">
        <f>IF(ISERROR(Grafik!G241),"",Grafik!G241)</f>
        <v/>
      </c>
      <c r="N205" s="33" t="str">
        <f>IF(ISERROR(Grafik!H241),"",Grafik!H241)</f>
        <v/>
      </c>
      <c r="O205" s="33" t="str">
        <f>IF(ISERROR(Grafik!I241),"",Grafik!I241)</f>
        <v/>
      </c>
      <c r="P205" s="33" t="str">
        <f>IF(ISERROR(Grafik!J241),"",Grafik!J241)</f>
        <v/>
      </c>
      <c r="Q205" s="33" t="str">
        <f>IF(ISERROR(Grafik!K241),"",Grafik!K241)</f>
        <v/>
      </c>
      <c r="R205" s="33" t="str">
        <f>IF(ISERROR(Grafik!L241),"",Grafik!L241)</f>
        <v/>
      </c>
      <c r="S205" s="33" t="str">
        <f>IF(ISERROR(Grafik!M241),"",Grafik!M241)</f>
        <v/>
      </c>
      <c r="T205" s="33" t="str">
        <f>IF(ISERROR(Grafik!N241),"",Grafik!N241)</f>
        <v/>
      </c>
      <c r="U205" s="33" t="str">
        <f>IF(ISERROR(Grafik!O241),"",Grafik!O241)</f>
        <v/>
      </c>
      <c r="V205" s="33" t="str">
        <f>IF(ISERROR(Grafik!P241),"",Grafik!P241)</f>
        <v/>
      </c>
      <c r="W205" s="66"/>
      <c r="X205" s="31"/>
      <c r="Y205" s="31"/>
      <c r="Z205" s="31"/>
    </row>
    <row r="206" spans="1:26" ht="19.5" customHeight="1">
      <c r="A206" s="25"/>
      <c r="B206" s="59"/>
      <c r="C206" s="61" t="str">
        <f>IF(B206="","",DATEDIF(Person!$C$22,B206,"y"))</f>
        <v/>
      </c>
      <c r="D206" s="25"/>
      <c r="E206" s="62"/>
      <c r="F206" s="63"/>
      <c r="G206" s="64" t="str">
        <f>IF(F206="","",IF(E206="","",IF(W206="","",F206*(100%-H206/100))))</f>
        <v/>
      </c>
      <c r="H206" s="64" t="str">
        <f>IF(F206="","",IF(E206="","",IF(W206="","",$O$10*(($K$9*F206^$K$10)*($L$9*E206^$L$10)*(ABS(W206-(($J$8*E206^$J$9)*F206^$J$10+$J$7)))^$M$10)+$P$10)))</f>
        <v/>
      </c>
      <c r="I206" s="29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65" t="str">
        <f>IF(J206="","",SUM(J206:S206))</f>
        <v/>
      </c>
      <c r="X206" s="25"/>
      <c r="Y206" s="25"/>
      <c r="Z206" s="25"/>
    </row>
    <row r="207" spans="1:26" ht="19.5" customHeight="1">
      <c r="A207" s="31"/>
      <c r="B207" s="60"/>
      <c r="C207" s="60"/>
      <c r="D207" s="31"/>
      <c r="E207" s="60"/>
      <c r="F207" s="60"/>
      <c r="G207" s="60"/>
      <c r="H207" s="60"/>
      <c r="I207" s="31"/>
      <c r="J207" s="33" t="str">
        <f>IF(ISERROR(Grafik!D243),"",Grafik!D243)</f>
        <v/>
      </c>
      <c r="K207" s="33" t="str">
        <f>IF(ISERROR(Grafik!E243),"",Grafik!E243)</f>
        <v/>
      </c>
      <c r="L207" s="33" t="str">
        <f>IF(ISERROR(Grafik!F243),"",Grafik!F243)</f>
        <v/>
      </c>
      <c r="M207" s="33" t="str">
        <f>IF(ISERROR(Grafik!G243),"",Grafik!G243)</f>
        <v/>
      </c>
      <c r="N207" s="33" t="str">
        <f>IF(ISERROR(Grafik!H243),"",Grafik!H243)</f>
        <v/>
      </c>
      <c r="O207" s="33" t="str">
        <f>IF(ISERROR(Grafik!I243),"",Grafik!I243)</f>
        <v/>
      </c>
      <c r="P207" s="33" t="str">
        <f>IF(ISERROR(Grafik!J243),"",Grafik!J243)</f>
        <v/>
      </c>
      <c r="Q207" s="33" t="str">
        <f>IF(ISERROR(Grafik!K243),"",Grafik!K243)</f>
        <v/>
      </c>
      <c r="R207" s="33" t="str">
        <f>IF(ISERROR(Grafik!L243),"",Grafik!L243)</f>
        <v/>
      </c>
      <c r="S207" s="33" t="str">
        <f>IF(ISERROR(Grafik!M243),"",Grafik!M243)</f>
        <v/>
      </c>
      <c r="T207" s="33" t="str">
        <f>IF(ISERROR(Grafik!N243),"",Grafik!N243)</f>
        <v/>
      </c>
      <c r="U207" s="33" t="str">
        <f>IF(ISERROR(Grafik!O243),"",Grafik!O243)</f>
        <v/>
      </c>
      <c r="V207" s="33" t="str">
        <f>IF(ISERROR(Grafik!P243),"",Grafik!P243)</f>
        <v/>
      </c>
      <c r="W207" s="66"/>
      <c r="X207" s="31"/>
      <c r="Y207" s="31"/>
      <c r="Z207" s="31"/>
    </row>
    <row r="208" spans="1:26" ht="19.5" customHeight="1">
      <c r="A208" s="25"/>
      <c r="B208" s="59"/>
      <c r="C208" s="61" t="str">
        <f>IF(B208="","",DATEDIF(Person!$C$22,B208,"y"))</f>
        <v/>
      </c>
      <c r="D208" s="25"/>
      <c r="E208" s="62"/>
      <c r="F208" s="63"/>
      <c r="G208" s="64" t="str">
        <f>IF(F208="","",IF(E208="","",IF(W208="","",F208*(100%-H208/100))))</f>
        <v/>
      </c>
      <c r="H208" s="64" t="str">
        <f>IF(F208="","",IF(E208="","",IF(W208="","",$O$10*(($K$9*F208^$K$10)*($L$9*E208^$L$10)*(ABS(W208-(($J$8*E208^$J$9)*F208^$J$10+$J$7)))^$M$10)+$P$10)))</f>
        <v/>
      </c>
      <c r="I208" s="29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65" t="str">
        <f>IF(J208="","",SUM(J208:S208))</f>
        <v/>
      </c>
      <c r="X208" s="25"/>
      <c r="Y208" s="25"/>
      <c r="Z208" s="25"/>
    </row>
    <row r="209" spans="1:26" ht="19.5" customHeight="1">
      <c r="A209" s="31"/>
      <c r="B209" s="60"/>
      <c r="C209" s="60"/>
      <c r="D209" s="31"/>
      <c r="E209" s="60"/>
      <c r="F209" s="60"/>
      <c r="G209" s="60"/>
      <c r="H209" s="60"/>
      <c r="I209" s="31"/>
      <c r="J209" s="33" t="str">
        <f>IF(ISERROR(Grafik!D245),"",Grafik!D245)</f>
        <v/>
      </c>
      <c r="K209" s="33" t="str">
        <f>IF(ISERROR(Grafik!E245),"",Grafik!E245)</f>
        <v/>
      </c>
      <c r="L209" s="33" t="str">
        <f>IF(ISERROR(Grafik!F245),"",Grafik!F245)</f>
        <v/>
      </c>
      <c r="M209" s="33" t="str">
        <f>IF(ISERROR(Grafik!G245),"",Grafik!G245)</f>
        <v/>
      </c>
      <c r="N209" s="33" t="str">
        <f>IF(ISERROR(Grafik!H245),"",Grafik!H245)</f>
        <v/>
      </c>
      <c r="O209" s="33" t="str">
        <f>IF(ISERROR(Grafik!I245),"",Grafik!I245)</f>
        <v/>
      </c>
      <c r="P209" s="33" t="str">
        <f>IF(ISERROR(Grafik!J245),"",Grafik!J245)</f>
        <v/>
      </c>
      <c r="Q209" s="33" t="str">
        <f>IF(ISERROR(Grafik!K245),"",Grafik!K245)</f>
        <v/>
      </c>
      <c r="R209" s="33" t="str">
        <f>IF(ISERROR(Grafik!L245),"",Grafik!L245)</f>
        <v/>
      </c>
      <c r="S209" s="33" t="str">
        <f>IF(ISERROR(Grafik!M245),"",Grafik!M245)</f>
        <v/>
      </c>
      <c r="T209" s="33" t="str">
        <f>IF(ISERROR(Grafik!N245),"",Grafik!N245)</f>
        <v/>
      </c>
      <c r="U209" s="33" t="str">
        <f>IF(ISERROR(Grafik!O245),"",Grafik!O245)</f>
        <v/>
      </c>
      <c r="V209" s="33" t="str">
        <f>IF(ISERROR(Grafik!P245),"",Grafik!P245)</f>
        <v/>
      </c>
      <c r="W209" s="66"/>
      <c r="X209" s="31"/>
      <c r="Y209" s="31"/>
      <c r="Z209" s="31"/>
    </row>
    <row r="210" spans="1:26" ht="19.5" customHeight="1">
      <c r="A210" s="25"/>
      <c r="B210" s="59"/>
      <c r="C210" s="61" t="str">
        <f>IF(B210="","",DATEDIF(Person!$C$22,B210,"y"))</f>
        <v/>
      </c>
      <c r="D210" s="25"/>
      <c r="E210" s="62"/>
      <c r="F210" s="63"/>
      <c r="G210" s="64" t="str">
        <f>IF(F210="","",IF(E210="","",IF(W210="","",F210*(100%-H210/100))))</f>
        <v/>
      </c>
      <c r="H210" s="64" t="str">
        <f>IF(F210="","",IF(E210="","",IF(W210="","",$O$10*(($K$9*F210^$K$10)*($L$9*E210^$L$10)*(ABS(W210-(($J$8*E210^$J$9)*F210^$J$10+$J$7)))^$M$10)+$P$10)))</f>
        <v/>
      </c>
      <c r="I210" s="29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65" t="str">
        <f>IF(J210="","",SUM(J210:S210))</f>
        <v/>
      </c>
      <c r="X210" s="25"/>
      <c r="Y210" s="25"/>
      <c r="Z210" s="25"/>
    </row>
    <row r="211" spans="1:26" ht="19.5" customHeight="1">
      <c r="A211" s="31"/>
      <c r="B211" s="60"/>
      <c r="C211" s="60"/>
      <c r="D211" s="31"/>
      <c r="E211" s="60"/>
      <c r="F211" s="60"/>
      <c r="G211" s="60"/>
      <c r="H211" s="60"/>
      <c r="I211" s="31"/>
      <c r="J211" s="33" t="str">
        <f>IF(ISERROR(Grafik!D247),"",Grafik!D247)</f>
        <v/>
      </c>
      <c r="K211" s="33" t="str">
        <f>IF(ISERROR(Grafik!E247),"",Grafik!E247)</f>
        <v/>
      </c>
      <c r="L211" s="33" t="str">
        <f>IF(ISERROR(Grafik!F247),"",Grafik!F247)</f>
        <v/>
      </c>
      <c r="M211" s="33" t="str">
        <f>IF(ISERROR(Grafik!G247),"",Grafik!G247)</f>
        <v/>
      </c>
      <c r="N211" s="33" t="str">
        <f>IF(ISERROR(Grafik!H247),"",Grafik!H247)</f>
        <v/>
      </c>
      <c r="O211" s="33" t="str">
        <f>IF(ISERROR(Grafik!I247),"",Grafik!I247)</f>
        <v/>
      </c>
      <c r="P211" s="33" t="str">
        <f>IF(ISERROR(Grafik!J247),"",Grafik!J247)</f>
        <v/>
      </c>
      <c r="Q211" s="33" t="str">
        <f>IF(ISERROR(Grafik!K247),"",Grafik!K247)</f>
        <v/>
      </c>
      <c r="R211" s="33" t="str">
        <f>IF(ISERROR(Grafik!L247),"",Grafik!L247)</f>
        <v/>
      </c>
      <c r="S211" s="33" t="str">
        <f>IF(ISERROR(Grafik!M247),"",Grafik!M247)</f>
        <v/>
      </c>
      <c r="T211" s="33" t="str">
        <f>IF(ISERROR(Grafik!N247),"",Grafik!N247)</f>
        <v/>
      </c>
      <c r="U211" s="33" t="str">
        <f>IF(ISERROR(Grafik!O247),"",Grafik!O247)</f>
        <v/>
      </c>
      <c r="V211" s="33" t="str">
        <f>IF(ISERROR(Grafik!P247),"",Grafik!P247)</f>
        <v/>
      </c>
      <c r="W211" s="66"/>
      <c r="X211" s="31"/>
      <c r="Y211" s="31"/>
      <c r="Z211" s="31"/>
    </row>
    <row r="212" spans="1:26" ht="19.5" customHeight="1">
      <c r="A212" s="6"/>
      <c r="B212" s="6"/>
      <c r="C212" s="7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5.75" customHeight="1">
      <c r="A213" s="6"/>
      <c r="B213" s="6"/>
      <c r="C213" s="7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5.75" customHeight="1">
      <c r="A214" s="6"/>
      <c r="B214" s="6"/>
      <c r="C214" s="7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5.75" customHeight="1">
      <c r="A215" s="6"/>
      <c r="B215" s="6"/>
      <c r="C215" s="7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5.75" customHeight="1">
      <c r="A216" s="6"/>
      <c r="B216" s="6"/>
      <c r="C216" s="7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5.75" customHeight="1">
      <c r="A217" s="6"/>
      <c r="B217" s="6"/>
      <c r="C217" s="7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5.75" customHeight="1">
      <c r="A218" s="6"/>
      <c r="B218" s="6"/>
      <c r="C218" s="7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5.75" customHeight="1">
      <c r="A219" s="6"/>
      <c r="B219" s="6"/>
      <c r="C219" s="7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5.75" customHeight="1">
      <c r="A220" s="6"/>
      <c r="B220" s="6"/>
      <c r="C220" s="7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5.75" customHeight="1">
      <c r="A221" s="6"/>
      <c r="B221" s="6"/>
      <c r="C221" s="7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5.75" customHeight="1">
      <c r="A222" s="6"/>
      <c r="B222" s="6"/>
      <c r="C222" s="7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5.75" customHeight="1">
      <c r="A223" s="6"/>
      <c r="B223" s="6"/>
      <c r="C223" s="7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5.75" customHeight="1">
      <c r="A224" s="6"/>
      <c r="B224" s="6"/>
      <c r="C224" s="7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5.75" customHeight="1">
      <c r="A225" s="6"/>
      <c r="B225" s="6"/>
      <c r="C225" s="7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5.75" customHeight="1">
      <c r="A226" s="6"/>
      <c r="B226" s="6"/>
      <c r="C226" s="7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5.75" customHeight="1">
      <c r="A227" s="6"/>
      <c r="B227" s="6"/>
      <c r="C227" s="7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5.75" customHeight="1">
      <c r="A228" s="6"/>
      <c r="B228" s="6"/>
      <c r="C228" s="7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5.75" customHeight="1">
      <c r="A229" s="6"/>
      <c r="B229" s="6"/>
      <c r="C229" s="7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5.75" customHeight="1">
      <c r="A230" s="6"/>
      <c r="B230" s="6"/>
      <c r="C230" s="7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5.75" customHeight="1">
      <c r="A231" s="6"/>
      <c r="B231" s="6"/>
      <c r="C231" s="7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5.75" customHeight="1">
      <c r="A232" s="6"/>
      <c r="B232" s="6"/>
      <c r="C232" s="7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5.75" customHeight="1">
      <c r="A233" s="6"/>
      <c r="B233" s="6"/>
      <c r="C233" s="7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5.75" customHeight="1">
      <c r="A234" s="6"/>
      <c r="B234" s="6"/>
      <c r="C234" s="7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5.75" customHeight="1">
      <c r="A235" s="6"/>
      <c r="B235" s="6"/>
      <c r="C235" s="7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5.75" customHeight="1">
      <c r="A236" s="6"/>
      <c r="B236" s="6"/>
      <c r="C236" s="7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5.75" customHeight="1">
      <c r="A237" s="6"/>
      <c r="B237" s="6"/>
      <c r="C237" s="7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5.75" customHeight="1">
      <c r="A238" s="6"/>
      <c r="B238" s="6"/>
      <c r="C238" s="7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5.75" customHeight="1">
      <c r="A239" s="6"/>
      <c r="B239" s="6"/>
      <c r="C239" s="7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5.75" customHeight="1">
      <c r="A240" s="6"/>
      <c r="B240" s="6"/>
      <c r="C240" s="7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5.75" customHeight="1">
      <c r="A241" s="6"/>
      <c r="B241" s="6"/>
      <c r="C241" s="7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5.75" customHeight="1">
      <c r="A242" s="6"/>
      <c r="B242" s="6"/>
      <c r="C242" s="7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5.75" customHeight="1">
      <c r="A243" s="6"/>
      <c r="B243" s="6"/>
      <c r="C243" s="7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5.75" customHeight="1">
      <c r="A244" s="6"/>
      <c r="B244" s="6"/>
      <c r="C244" s="7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5.75" customHeight="1">
      <c r="A245" s="6"/>
      <c r="B245" s="6"/>
      <c r="C245" s="7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5.75" customHeight="1">
      <c r="A246" s="6"/>
      <c r="B246" s="6"/>
      <c r="C246" s="7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5.75" customHeight="1">
      <c r="A247" s="6"/>
      <c r="B247" s="6"/>
      <c r="C247" s="7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5.75" customHeight="1">
      <c r="A248" s="6"/>
      <c r="B248" s="6"/>
      <c r="C248" s="7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5.75" customHeight="1">
      <c r="A249" s="6"/>
      <c r="B249" s="6"/>
      <c r="C249" s="7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5.75" customHeight="1">
      <c r="A250" s="6"/>
      <c r="B250" s="6"/>
      <c r="C250" s="7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5.75" customHeight="1">
      <c r="A251" s="6"/>
      <c r="B251" s="6"/>
      <c r="C251" s="7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5.75" customHeight="1">
      <c r="A252" s="6"/>
      <c r="B252" s="6"/>
      <c r="C252" s="7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5.75" customHeight="1">
      <c r="A253" s="6"/>
      <c r="B253" s="6"/>
      <c r="C253" s="7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5.75" customHeight="1">
      <c r="A254" s="6"/>
      <c r="B254" s="6"/>
      <c r="C254" s="7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5.75" customHeight="1">
      <c r="A255" s="6"/>
      <c r="B255" s="6"/>
      <c r="C255" s="7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5.75" customHeight="1">
      <c r="A256" s="6"/>
      <c r="B256" s="6"/>
      <c r="C256" s="7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5.75" customHeight="1">
      <c r="A257" s="6"/>
      <c r="B257" s="6"/>
      <c r="C257" s="7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5.75" customHeight="1">
      <c r="A258" s="6"/>
      <c r="B258" s="6"/>
      <c r="C258" s="7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5.75" customHeight="1">
      <c r="A259" s="6"/>
      <c r="B259" s="6"/>
      <c r="C259" s="7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5.75" customHeight="1">
      <c r="A260" s="6"/>
      <c r="B260" s="6"/>
      <c r="C260" s="7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5.75" customHeight="1">
      <c r="A261" s="6"/>
      <c r="B261" s="6"/>
      <c r="C261" s="7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5.75" customHeight="1">
      <c r="A262" s="6"/>
      <c r="B262" s="6"/>
      <c r="C262" s="7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5.75" customHeight="1">
      <c r="A263" s="6"/>
      <c r="B263" s="6"/>
      <c r="C263" s="7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5.75" customHeight="1">
      <c r="A264" s="6"/>
      <c r="B264" s="6"/>
      <c r="C264" s="7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5.75" customHeight="1">
      <c r="A265" s="6"/>
      <c r="B265" s="6"/>
      <c r="C265" s="7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5.75" customHeight="1">
      <c r="A266" s="6"/>
      <c r="B266" s="6"/>
      <c r="C266" s="7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5.75" customHeight="1">
      <c r="A267" s="6"/>
      <c r="B267" s="6"/>
      <c r="C267" s="7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5.75" customHeight="1">
      <c r="A268" s="6"/>
      <c r="B268" s="6"/>
      <c r="C268" s="7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5.75" customHeight="1">
      <c r="A269" s="6"/>
      <c r="B269" s="6"/>
      <c r="C269" s="7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5.75" customHeight="1">
      <c r="A270" s="6"/>
      <c r="B270" s="6"/>
      <c r="C270" s="7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5.75" customHeight="1">
      <c r="A271" s="6"/>
      <c r="B271" s="6"/>
      <c r="C271" s="7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5.75" customHeight="1">
      <c r="A272" s="6"/>
      <c r="B272" s="6"/>
      <c r="C272" s="7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5.75" customHeight="1">
      <c r="A273" s="6"/>
      <c r="B273" s="6"/>
      <c r="C273" s="7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5.75" customHeight="1">
      <c r="A274" s="6"/>
      <c r="B274" s="6"/>
      <c r="C274" s="7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5.75" customHeight="1">
      <c r="A275" s="6"/>
      <c r="B275" s="6"/>
      <c r="C275" s="7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5.75" customHeight="1">
      <c r="A276" s="6"/>
      <c r="B276" s="6"/>
      <c r="C276" s="7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5.75" customHeight="1">
      <c r="A277" s="6"/>
      <c r="B277" s="6"/>
      <c r="C277" s="7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5.75" customHeight="1">
      <c r="A278" s="6"/>
      <c r="B278" s="6"/>
      <c r="C278" s="7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5.75" customHeight="1">
      <c r="A279" s="6"/>
      <c r="B279" s="6"/>
      <c r="C279" s="7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5.75" customHeight="1">
      <c r="A280" s="6"/>
      <c r="B280" s="6"/>
      <c r="C280" s="7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5.75" customHeight="1">
      <c r="A281" s="6"/>
      <c r="B281" s="6"/>
      <c r="C281" s="7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5.75" customHeight="1">
      <c r="A282" s="6"/>
      <c r="B282" s="6"/>
      <c r="C282" s="7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5.75" customHeight="1">
      <c r="A283" s="6"/>
      <c r="B283" s="6"/>
      <c r="C283" s="7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5.75" customHeight="1">
      <c r="A284" s="6"/>
      <c r="B284" s="6"/>
      <c r="C284" s="7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5.75" customHeight="1">
      <c r="A285" s="6"/>
      <c r="B285" s="6"/>
      <c r="C285" s="7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5.75" customHeight="1">
      <c r="A286" s="6"/>
      <c r="B286" s="6"/>
      <c r="C286" s="7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5.75" customHeight="1">
      <c r="A287" s="6"/>
      <c r="B287" s="6"/>
      <c r="C287" s="7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5.75" customHeight="1">
      <c r="A288" s="6"/>
      <c r="B288" s="6"/>
      <c r="C288" s="7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5.75" customHeight="1">
      <c r="A289" s="6"/>
      <c r="B289" s="6"/>
      <c r="C289" s="7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5.75" customHeight="1">
      <c r="A290" s="6"/>
      <c r="B290" s="6"/>
      <c r="C290" s="7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5.75" customHeight="1">
      <c r="A291" s="6"/>
      <c r="B291" s="6"/>
      <c r="C291" s="7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5.75" customHeight="1">
      <c r="A292" s="6"/>
      <c r="B292" s="6"/>
      <c r="C292" s="7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5.75" customHeight="1">
      <c r="A293" s="6"/>
      <c r="B293" s="6"/>
      <c r="C293" s="7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5.75" customHeight="1">
      <c r="A294" s="6"/>
      <c r="B294" s="6"/>
      <c r="C294" s="7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5.75" customHeight="1">
      <c r="A295" s="6"/>
      <c r="B295" s="6"/>
      <c r="C295" s="7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5.75" customHeight="1">
      <c r="A296" s="6"/>
      <c r="B296" s="6"/>
      <c r="C296" s="7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5.75" customHeight="1">
      <c r="A297" s="6"/>
      <c r="B297" s="6"/>
      <c r="C297" s="7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5.75" customHeight="1">
      <c r="A298" s="6"/>
      <c r="B298" s="6"/>
      <c r="C298" s="7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5.75" customHeight="1">
      <c r="A299" s="6"/>
      <c r="B299" s="6"/>
      <c r="C299" s="7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5.75" customHeight="1">
      <c r="A300" s="6"/>
      <c r="B300" s="6"/>
      <c r="C300" s="7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5.75" customHeight="1">
      <c r="A301" s="6"/>
      <c r="B301" s="6"/>
      <c r="C301" s="7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5.75" customHeight="1">
      <c r="A302" s="6"/>
      <c r="B302" s="6"/>
      <c r="C302" s="7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5.75" customHeight="1">
      <c r="A303" s="6"/>
      <c r="B303" s="6"/>
      <c r="C303" s="7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5.75" customHeight="1">
      <c r="A304" s="6"/>
      <c r="B304" s="6"/>
      <c r="C304" s="7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5.75" customHeight="1">
      <c r="A305" s="6"/>
      <c r="B305" s="6"/>
      <c r="C305" s="7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5.75" customHeight="1">
      <c r="A306" s="6"/>
      <c r="B306" s="6"/>
      <c r="C306" s="7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5.75" customHeight="1">
      <c r="A307" s="6"/>
      <c r="B307" s="6"/>
      <c r="C307" s="7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5.75" customHeight="1">
      <c r="A308" s="6"/>
      <c r="B308" s="6"/>
      <c r="C308" s="7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5.75" customHeight="1">
      <c r="A309" s="6"/>
      <c r="B309" s="6"/>
      <c r="C309" s="7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5.75" customHeight="1">
      <c r="A310" s="6"/>
      <c r="B310" s="6"/>
      <c r="C310" s="7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5.75" customHeight="1">
      <c r="A311" s="6"/>
      <c r="B311" s="6"/>
      <c r="C311" s="7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5.75" customHeight="1">
      <c r="A312" s="6"/>
      <c r="B312" s="6"/>
      <c r="C312" s="7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5.75" customHeight="1">
      <c r="A313" s="6"/>
      <c r="B313" s="6"/>
      <c r="C313" s="7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5.75" customHeight="1">
      <c r="A314" s="6"/>
      <c r="B314" s="6"/>
      <c r="C314" s="7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5.75" customHeight="1">
      <c r="A315" s="6"/>
      <c r="B315" s="6"/>
      <c r="C315" s="7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5.75" customHeight="1">
      <c r="A316" s="6"/>
      <c r="B316" s="6"/>
      <c r="C316" s="7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5.75" customHeight="1">
      <c r="A317" s="6"/>
      <c r="B317" s="6"/>
      <c r="C317" s="7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5.75" customHeight="1">
      <c r="A318" s="6"/>
      <c r="B318" s="6"/>
      <c r="C318" s="7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5.75" customHeight="1">
      <c r="A319" s="6"/>
      <c r="B319" s="6"/>
      <c r="C319" s="7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5.75" customHeight="1">
      <c r="A320" s="6"/>
      <c r="B320" s="6"/>
      <c r="C320" s="7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5.75" customHeight="1">
      <c r="A321" s="6"/>
      <c r="B321" s="6"/>
      <c r="C321" s="7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5.75" customHeight="1">
      <c r="A322" s="6"/>
      <c r="B322" s="6"/>
      <c r="C322" s="7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5.75" customHeight="1">
      <c r="A323" s="6"/>
      <c r="B323" s="6"/>
      <c r="C323" s="7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5.75" customHeight="1">
      <c r="A324" s="6"/>
      <c r="B324" s="6"/>
      <c r="C324" s="7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5.75" customHeight="1">
      <c r="A325" s="6"/>
      <c r="B325" s="6"/>
      <c r="C325" s="7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5.75" customHeight="1">
      <c r="A326" s="6"/>
      <c r="B326" s="6"/>
      <c r="C326" s="7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5.75" customHeight="1">
      <c r="A327" s="6"/>
      <c r="B327" s="6"/>
      <c r="C327" s="7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5.75" customHeight="1">
      <c r="A328" s="6"/>
      <c r="B328" s="6"/>
      <c r="C328" s="7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5.75" customHeight="1">
      <c r="A329" s="6"/>
      <c r="B329" s="6"/>
      <c r="C329" s="7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5.75" customHeight="1">
      <c r="A330" s="6"/>
      <c r="B330" s="6"/>
      <c r="C330" s="7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5.75" customHeight="1">
      <c r="A331" s="6"/>
      <c r="B331" s="6"/>
      <c r="C331" s="7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5.75" customHeight="1">
      <c r="A332" s="6"/>
      <c r="B332" s="6"/>
      <c r="C332" s="7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5.75" customHeight="1">
      <c r="A333" s="6"/>
      <c r="B333" s="6"/>
      <c r="C333" s="7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5.75" customHeight="1">
      <c r="A334" s="6"/>
      <c r="B334" s="6"/>
      <c r="C334" s="7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5.75" customHeight="1">
      <c r="A335" s="6"/>
      <c r="B335" s="6"/>
      <c r="C335" s="7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5.75" customHeight="1">
      <c r="A336" s="6"/>
      <c r="B336" s="6"/>
      <c r="C336" s="7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5.75" customHeight="1">
      <c r="A337" s="6"/>
      <c r="B337" s="6"/>
      <c r="C337" s="7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5.75" customHeight="1">
      <c r="A338" s="6"/>
      <c r="B338" s="6"/>
      <c r="C338" s="7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5.75" customHeight="1">
      <c r="A339" s="6"/>
      <c r="B339" s="6"/>
      <c r="C339" s="7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5.75" customHeight="1">
      <c r="A340" s="6"/>
      <c r="B340" s="6"/>
      <c r="C340" s="7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5.75" customHeight="1">
      <c r="A341" s="6"/>
      <c r="B341" s="6"/>
      <c r="C341" s="7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5.75" customHeight="1">
      <c r="A342" s="6"/>
      <c r="B342" s="6"/>
      <c r="C342" s="7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5.75" customHeight="1">
      <c r="A343" s="6"/>
      <c r="B343" s="6"/>
      <c r="C343" s="7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5.75" customHeight="1">
      <c r="A344" s="6"/>
      <c r="B344" s="6"/>
      <c r="C344" s="7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5.75" customHeight="1">
      <c r="A345" s="6"/>
      <c r="B345" s="6"/>
      <c r="C345" s="7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5.75" customHeight="1">
      <c r="A346" s="6"/>
      <c r="B346" s="6"/>
      <c r="C346" s="7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5.75" customHeight="1">
      <c r="A347" s="6"/>
      <c r="B347" s="6"/>
      <c r="C347" s="7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5.75" customHeight="1">
      <c r="A348" s="6"/>
      <c r="B348" s="6"/>
      <c r="C348" s="7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5.75" customHeight="1">
      <c r="A349" s="6"/>
      <c r="B349" s="6"/>
      <c r="C349" s="7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5.75" customHeight="1">
      <c r="A350" s="6"/>
      <c r="B350" s="6"/>
      <c r="C350" s="7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5.75" customHeight="1">
      <c r="A351" s="6"/>
      <c r="B351" s="6"/>
      <c r="C351" s="7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5.75" customHeight="1">
      <c r="A352" s="6"/>
      <c r="B352" s="6"/>
      <c r="C352" s="7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5.75" customHeight="1">
      <c r="A353" s="6"/>
      <c r="B353" s="6"/>
      <c r="C353" s="7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5.75" customHeight="1">
      <c r="A354" s="6"/>
      <c r="B354" s="6"/>
      <c r="C354" s="7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5.75" customHeight="1">
      <c r="A355" s="6"/>
      <c r="B355" s="6"/>
      <c r="C355" s="7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5.75" customHeight="1">
      <c r="A356" s="6"/>
      <c r="B356" s="6"/>
      <c r="C356" s="7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5.75" customHeight="1">
      <c r="A357" s="6"/>
      <c r="B357" s="6"/>
      <c r="C357" s="7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5.75" customHeight="1">
      <c r="A358" s="6"/>
      <c r="B358" s="6"/>
      <c r="C358" s="7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5.75" customHeight="1">
      <c r="A359" s="6"/>
      <c r="B359" s="6"/>
      <c r="C359" s="7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5.75" customHeight="1">
      <c r="A360" s="6"/>
      <c r="B360" s="6"/>
      <c r="C360" s="7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5.75" customHeight="1">
      <c r="A361" s="6"/>
      <c r="B361" s="6"/>
      <c r="C361" s="7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5.75" customHeight="1">
      <c r="A362" s="6"/>
      <c r="B362" s="6"/>
      <c r="C362" s="7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5.75" customHeight="1">
      <c r="A363" s="6"/>
      <c r="B363" s="6"/>
      <c r="C363" s="7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5.75" customHeight="1">
      <c r="A364" s="6"/>
      <c r="B364" s="6"/>
      <c r="C364" s="7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5.75" customHeight="1">
      <c r="A365" s="6"/>
      <c r="B365" s="6"/>
      <c r="C365" s="7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5.75" customHeight="1">
      <c r="A366" s="6"/>
      <c r="B366" s="6"/>
      <c r="C366" s="7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5.75" customHeight="1">
      <c r="A367" s="6"/>
      <c r="B367" s="6"/>
      <c r="C367" s="7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5.75" customHeight="1">
      <c r="A368" s="6"/>
      <c r="B368" s="6"/>
      <c r="C368" s="7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5.75" customHeight="1">
      <c r="A369" s="6"/>
      <c r="B369" s="6"/>
      <c r="C369" s="7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5.75" customHeight="1">
      <c r="A370" s="6"/>
      <c r="B370" s="6"/>
      <c r="C370" s="7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5.75" customHeight="1">
      <c r="A371" s="6"/>
      <c r="B371" s="6"/>
      <c r="C371" s="7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5.75" customHeight="1">
      <c r="A372" s="6"/>
      <c r="B372" s="6"/>
      <c r="C372" s="7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5.75" customHeight="1">
      <c r="A373" s="6"/>
      <c r="B373" s="6"/>
      <c r="C373" s="7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5.75" customHeight="1">
      <c r="A374" s="6"/>
      <c r="B374" s="6"/>
      <c r="C374" s="7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5.75" customHeight="1">
      <c r="A375" s="6"/>
      <c r="B375" s="6"/>
      <c r="C375" s="7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5.75" customHeight="1">
      <c r="A376" s="6"/>
      <c r="B376" s="6"/>
      <c r="C376" s="7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5.75" customHeight="1">
      <c r="A377" s="6"/>
      <c r="B377" s="6"/>
      <c r="C377" s="7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5.75" customHeight="1">
      <c r="A378" s="6"/>
      <c r="B378" s="6"/>
      <c r="C378" s="7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5.75" customHeight="1">
      <c r="A379" s="6"/>
      <c r="B379" s="6"/>
      <c r="C379" s="7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5.75" customHeight="1">
      <c r="A380" s="6"/>
      <c r="B380" s="6"/>
      <c r="C380" s="7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5.75" customHeight="1">
      <c r="A381" s="6"/>
      <c r="B381" s="6"/>
      <c r="C381" s="7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5.75" customHeight="1">
      <c r="A382" s="6"/>
      <c r="B382" s="6"/>
      <c r="C382" s="7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5.75" customHeight="1">
      <c r="A383" s="6"/>
      <c r="B383" s="6"/>
      <c r="C383" s="7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5.75" customHeight="1">
      <c r="A384" s="6"/>
      <c r="B384" s="6"/>
      <c r="C384" s="7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5.75" customHeight="1">
      <c r="A385" s="6"/>
      <c r="B385" s="6"/>
      <c r="C385" s="7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5.75" customHeight="1">
      <c r="A386" s="6"/>
      <c r="B386" s="6"/>
      <c r="C386" s="7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5.75" customHeight="1">
      <c r="A387" s="6"/>
      <c r="B387" s="6"/>
      <c r="C387" s="7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5.75" customHeight="1">
      <c r="A388" s="6"/>
      <c r="B388" s="6"/>
      <c r="C388" s="7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5.75" customHeight="1">
      <c r="A389" s="6"/>
      <c r="B389" s="6"/>
      <c r="C389" s="7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5.75" customHeight="1">
      <c r="A390" s="6"/>
      <c r="B390" s="6"/>
      <c r="C390" s="7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5.75" customHeight="1">
      <c r="A391" s="6"/>
      <c r="B391" s="6"/>
      <c r="C391" s="7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5.75" customHeight="1">
      <c r="A392" s="6"/>
      <c r="B392" s="6"/>
      <c r="C392" s="7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5.75" customHeight="1">
      <c r="A393" s="6"/>
      <c r="B393" s="6"/>
      <c r="C393" s="7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5.75" customHeight="1">
      <c r="A394" s="6"/>
      <c r="B394" s="6"/>
      <c r="C394" s="7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5.75" customHeight="1">
      <c r="A395" s="6"/>
      <c r="B395" s="6"/>
      <c r="C395" s="7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5.75" customHeight="1">
      <c r="A396" s="6"/>
      <c r="B396" s="6"/>
      <c r="C396" s="7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5.75" customHeight="1">
      <c r="A397" s="6"/>
      <c r="B397" s="6"/>
      <c r="C397" s="7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5.75" customHeight="1">
      <c r="A398" s="6"/>
      <c r="B398" s="6"/>
      <c r="C398" s="7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5.75" customHeight="1">
      <c r="A399" s="6"/>
      <c r="B399" s="6"/>
      <c r="C399" s="7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5.75" customHeight="1">
      <c r="A400" s="6"/>
      <c r="B400" s="6"/>
      <c r="C400" s="7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5.75" customHeight="1">
      <c r="A401" s="6"/>
      <c r="B401" s="6"/>
      <c r="C401" s="7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5.75" customHeight="1">
      <c r="A402" s="6"/>
      <c r="B402" s="6"/>
      <c r="C402" s="7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5.75" customHeight="1">
      <c r="A403" s="6"/>
      <c r="B403" s="6"/>
      <c r="C403" s="7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5.75" customHeight="1">
      <c r="A404" s="6"/>
      <c r="B404" s="6"/>
      <c r="C404" s="7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5.75" customHeight="1">
      <c r="A405" s="6"/>
      <c r="B405" s="6"/>
      <c r="C405" s="7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5.75" customHeight="1">
      <c r="A406" s="6"/>
      <c r="B406" s="6"/>
      <c r="C406" s="7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5.75" customHeight="1">
      <c r="A407" s="6"/>
      <c r="B407" s="6"/>
      <c r="C407" s="7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5.75" customHeight="1">
      <c r="A408" s="6"/>
      <c r="B408" s="6"/>
      <c r="C408" s="7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5.75" customHeight="1">
      <c r="A409" s="6"/>
      <c r="B409" s="6"/>
      <c r="C409" s="7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5.75" customHeight="1">
      <c r="A410" s="6"/>
      <c r="B410" s="6"/>
      <c r="C410" s="7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5.75" customHeight="1">
      <c r="A411" s="6"/>
      <c r="B411" s="6"/>
      <c r="C411" s="7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5.75" customHeight="1">
      <c r="A412" s="6"/>
      <c r="B412" s="6"/>
      <c r="C412" s="7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5.75" customHeight="1">
      <c r="A413" s="6"/>
      <c r="B413" s="6"/>
      <c r="C413" s="7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5.75" customHeight="1">
      <c r="A414" s="6"/>
      <c r="B414" s="6"/>
      <c r="C414" s="7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5.75" customHeight="1">
      <c r="A415" s="6"/>
      <c r="B415" s="6"/>
      <c r="C415" s="7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5.75" customHeight="1">
      <c r="A416" s="6"/>
      <c r="B416" s="6"/>
      <c r="C416" s="7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5.75" customHeight="1">
      <c r="A417" s="6"/>
      <c r="B417" s="6"/>
      <c r="C417" s="7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5.75" customHeight="1">
      <c r="A418" s="6"/>
      <c r="B418" s="6"/>
      <c r="C418" s="7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5.75" customHeight="1">
      <c r="A419" s="6"/>
      <c r="B419" s="6"/>
      <c r="C419" s="7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5.75" customHeight="1">
      <c r="A420" s="6"/>
      <c r="B420" s="6"/>
      <c r="C420" s="7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5.75" customHeight="1">
      <c r="A421" s="6"/>
      <c r="B421" s="6"/>
      <c r="C421" s="7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5.75" customHeight="1">
      <c r="A422" s="6"/>
      <c r="B422" s="6"/>
      <c r="C422" s="7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5.75" customHeight="1">
      <c r="A423" s="6"/>
      <c r="B423" s="6"/>
      <c r="C423" s="7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5.75" customHeight="1">
      <c r="A424" s="6"/>
      <c r="B424" s="6"/>
      <c r="C424" s="7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5.75" customHeight="1">
      <c r="A425" s="6"/>
      <c r="B425" s="6"/>
      <c r="C425" s="7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5.75" customHeight="1">
      <c r="A426" s="6"/>
      <c r="B426" s="6"/>
      <c r="C426" s="7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5.75" customHeight="1">
      <c r="A427" s="6"/>
      <c r="B427" s="6"/>
      <c r="C427" s="7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5.75" customHeight="1">
      <c r="A428" s="6"/>
      <c r="B428" s="6"/>
      <c r="C428" s="7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5.75" customHeight="1">
      <c r="A429" s="6"/>
      <c r="B429" s="6"/>
      <c r="C429" s="7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5.75" customHeight="1">
      <c r="A430" s="6"/>
      <c r="B430" s="6"/>
      <c r="C430" s="7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5.75" customHeight="1">
      <c r="A431" s="6"/>
      <c r="B431" s="6"/>
      <c r="C431" s="7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5.75" customHeight="1">
      <c r="A432" s="6"/>
      <c r="B432" s="6"/>
      <c r="C432" s="7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5.75" customHeight="1">
      <c r="A433" s="6"/>
      <c r="B433" s="6"/>
      <c r="C433" s="7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5.75" customHeight="1">
      <c r="A434" s="6"/>
      <c r="B434" s="6"/>
      <c r="C434" s="7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5.75" customHeight="1">
      <c r="A435" s="6"/>
      <c r="B435" s="6"/>
      <c r="C435" s="7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5.75" customHeight="1">
      <c r="A436" s="6"/>
      <c r="B436" s="6"/>
      <c r="C436" s="7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5.75" customHeight="1">
      <c r="A437" s="6"/>
      <c r="B437" s="6"/>
      <c r="C437" s="7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5.75" customHeight="1">
      <c r="A438" s="6"/>
      <c r="B438" s="6"/>
      <c r="C438" s="7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5.75" customHeight="1">
      <c r="A439" s="6"/>
      <c r="B439" s="6"/>
      <c r="C439" s="7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5.75" customHeight="1">
      <c r="A440" s="6"/>
      <c r="B440" s="6"/>
      <c r="C440" s="7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5.75" customHeight="1">
      <c r="A441" s="6"/>
      <c r="B441" s="6"/>
      <c r="C441" s="7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5.75" customHeight="1">
      <c r="A442" s="6"/>
      <c r="B442" s="6"/>
      <c r="C442" s="7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5.75" customHeight="1">
      <c r="A443" s="6"/>
      <c r="B443" s="6"/>
      <c r="C443" s="7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5.75" customHeight="1">
      <c r="A444" s="6"/>
      <c r="B444" s="6"/>
      <c r="C444" s="7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5.75" customHeight="1">
      <c r="A445" s="6"/>
      <c r="B445" s="6"/>
      <c r="C445" s="7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5.75" customHeight="1">
      <c r="A446" s="6"/>
      <c r="B446" s="6"/>
      <c r="C446" s="7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5.75" customHeight="1">
      <c r="A447" s="6"/>
      <c r="B447" s="6"/>
      <c r="C447" s="7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5.75" customHeight="1">
      <c r="A448" s="6"/>
      <c r="B448" s="6"/>
      <c r="C448" s="7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5.75" customHeight="1">
      <c r="A449" s="6"/>
      <c r="B449" s="6"/>
      <c r="C449" s="7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5.75" customHeight="1">
      <c r="A450" s="6"/>
      <c r="B450" s="6"/>
      <c r="C450" s="7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5.75" customHeight="1">
      <c r="A451" s="6"/>
      <c r="B451" s="6"/>
      <c r="C451" s="7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5.75" customHeight="1">
      <c r="A452" s="6"/>
      <c r="B452" s="6"/>
      <c r="C452" s="7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5.75" customHeight="1">
      <c r="A453" s="6"/>
      <c r="B453" s="6"/>
      <c r="C453" s="7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5.75" customHeight="1">
      <c r="A454" s="6"/>
      <c r="B454" s="6"/>
      <c r="C454" s="7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5.75" customHeight="1">
      <c r="A455" s="6"/>
      <c r="B455" s="6"/>
      <c r="C455" s="7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5.75" customHeight="1">
      <c r="A456" s="6"/>
      <c r="B456" s="6"/>
      <c r="C456" s="7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5.75" customHeight="1">
      <c r="A457" s="6"/>
      <c r="B457" s="6"/>
      <c r="C457" s="7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5.75" customHeight="1">
      <c r="A458" s="6"/>
      <c r="B458" s="6"/>
      <c r="C458" s="7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5.75" customHeight="1">
      <c r="A459" s="6"/>
      <c r="B459" s="6"/>
      <c r="C459" s="7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5.75" customHeight="1">
      <c r="A460" s="6"/>
      <c r="B460" s="6"/>
      <c r="C460" s="7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5.75" customHeight="1">
      <c r="A461" s="6"/>
      <c r="B461" s="6"/>
      <c r="C461" s="7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5.75" customHeight="1">
      <c r="A462" s="6"/>
      <c r="B462" s="6"/>
      <c r="C462" s="7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5.75" customHeight="1">
      <c r="A463" s="6"/>
      <c r="B463" s="6"/>
      <c r="C463" s="7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5.75" customHeight="1">
      <c r="A464" s="6"/>
      <c r="B464" s="6"/>
      <c r="C464" s="7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5.75" customHeight="1">
      <c r="A465" s="6"/>
      <c r="B465" s="6"/>
      <c r="C465" s="7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5.75" customHeight="1">
      <c r="A466" s="6"/>
      <c r="B466" s="6"/>
      <c r="C466" s="7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5.75" customHeight="1">
      <c r="A467" s="6"/>
      <c r="B467" s="6"/>
      <c r="C467" s="7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5.75" customHeight="1">
      <c r="A468" s="6"/>
      <c r="B468" s="6"/>
      <c r="C468" s="7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5.75" customHeight="1">
      <c r="A469" s="6"/>
      <c r="B469" s="6"/>
      <c r="C469" s="7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5.75" customHeight="1">
      <c r="A470" s="6"/>
      <c r="B470" s="6"/>
      <c r="C470" s="7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5.75" customHeight="1">
      <c r="A471" s="6"/>
      <c r="B471" s="6"/>
      <c r="C471" s="7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5.75" customHeight="1">
      <c r="A472" s="6"/>
      <c r="B472" s="6"/>
      <c r="C472" s="7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5.75" customHeight="1">
      <c r="A473" s="6"/>
      <c r="B473" s="6"/>
      <c r="C473" s="7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5.75" customHeight="1">
      <c r="A474" s="6"/>
      <c r="B474" s="6"/>
      <c r="C474" s="7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5.75" customHeight="1">
      <c r="A475" s="6"/>
      <c r="B475" s="6"/>
      <c r="C475" s="7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5.75" customHeight="1">
      <c r="A476" s="6"/>
      <c r="B476" s="6"/>
      <c r="C476" s="7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5.75" customHeight="1">
      <c r="A477" s="6"/>
      <c r="B477" s="6"/>
      <c r="C477" s="7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5.75" customHeight="1">
      <c r="A478" s="6"/>
      <c r="B478" s="6"/>
      <c r="C478" s="7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5.75" customHeight="1">
      <c r="A479" s="6"/>
      <c r="B479" s="6"/>
      <c r="C479" s="7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5.75" customHeight="1">
      <c r="A480" s="6"/>
      <c r="B480" s="6"/>
      <c r="C480" s="7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5.75" customHeight="1">
      <c r="A481" s="6"/>
      <c r="B481" s="6"/>
      <c r="C481" s="7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5.75" customHeight="1">
      <c r="A482" s="6"/>
      <c r="B482" s="6"/>
      <c r="C482" s="7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5.75" customHeight="1">
      <c r="A483" s="6"/>
      <c r="B483" s="6"/>
      <c r="C483" s="7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5.75" customHeight="1">
      <c r="A484" s="6"/>
      <c r="B484" s="6"/>
      <c r="C484" s="7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5.75" customHeight="1">
      <c r="A485" s="6"/>
      <c r="B485" s="6"/>
      <c r="C485" s="7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5.75" customHeight="1">
      <c r="A486" s="6"/>
      <c r="B486" s="6"/>
      <c r="C486" s="7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5.75" customHeight="1">
      <c r="A487" s="6"/>
      <c r="B487" s="6"/>
      <c r="C487" s="7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5.75" customHeight="1">
      <c r="A488" s="6"/>
      <c r="B488" s="6"/>
      <c r="C488" s="7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5.75" customHeight="1">
      <c r="A489" s="6"/>
      <c r="B489" s="6"/>
      <c r="C489" s="7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5.75" customHeight="1">
      <c r="A490" s="6"/>
      <c r="B490" s="6"/>
      <c r="C490" s="7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5.75" customHeight="1">
      <c r="A491" s="6"/>
      <c r="B491" s="6"/>
      <c r="C491" s="7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5.75" customHeight="1">
      <c r="A492" s="6"/>
      <c r="B492" s="6"/>
      <c r="C492" s="7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5.75" customHeight="1">
      <c r="A493" s="6"/>
      <c r="B493" s="6"/>
      <c r="C493" s="7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5.75" customHeight="1">
      <c r="A494" s="6"/>
      <c r="B494" s="6"/>
      <c r="C494" s="7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5.75" customHeight="1">
      <c r="A495" s="6"/>
      <c r="B495" s="6"/>
      <c r="C495" s="7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5.75" customHeight="1">
      <c r="A496" s="6"/>
      <c r="B496" s="6"/>
      <c r="C496" s="7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5.75" customHeight="1">
      <c r="A497" s="6"/>
      <c r="B497" s="6"/>
      <c r="C497" s="7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5.75" customHeight="1">
      <c r="A498" s="6"/>
      <c r="B498" s="6"/>
      <c r="C498" s="7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5.75" customHeight="1">
      <c r="A499" s="6"/>
      <c r="B499" s="6"/>
      <c r="C499" s="7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5.75" customHeight="1">
      <c r="A500" s="6"/>
      <c r="B500" s="6"/>
      <c r="C500" s="7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5.75" customHeight="1">
      <c r="A501" s="6"/>
      <c r="B501" s="6"/>
      <c r="C501" s="7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5.75" customHeight="1">
      <c r="A502" s="6"/>
      <c r="B502" s="6"/>
      <c r="C502" s="7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5.75" customHeight="1">
      <c r="A503" s="6"/>
      <c r="B503" s="6"/>
      <c r="C503" s="7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5.75" customHeight="1">
      <c r="A504" s="6"/>
      <c r="B504" s="6"/>
      <c r="C504" s="7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5.75" customHeight="1">
      <c r="A505" s="6"/>
      <c r="B505" s="6"/>
      <c r="C505" s="7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5.75" customHeight="1">
      <c r="A506" s="6"/>
      <c r="B506" s="6"/>
      <c r="C506" s="7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5.75" customHeight="1">
      <c r="A507" s="6"/>
      <c r="B507" s="6"/>
      <c r="C507" s="7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5.75" customHeight="1">
      <c r="A508" s="6"/>
      <c r="B508" s="6"/>
      <c r="C508" s="7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5.75" customHeight="1">
      <c r="A509" s="6"/>
      <c r="B509" s="6"/>
      <c r="C509" s="7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5.75" customHeight="1">
      <c r="A510" s="6"/>
      <c r="B510" s="6"/>
      <c r="C510" s="7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5.75" customHeight="1">
      <c r="A511" s="6"/>
      <c r="B511" s="6"/>
      <c r="C511" s="7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5.75" customHeight="1">
      <c r="A512" s="6"/>
      <c r="B512" s="6"/>
      <c r="C512" s="7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5.75" customHeight="1">
      <c r="A513" s="6"/>
      <c r="B513" s="6"/>
      <c r="C513" s="7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5.75" customHeight="1">
      <c r="A514" s="6"/>
      <c r="B514" s="6"/>
      <c r="C514" s="7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5.75" customHeight="1">
      <c r="A515" s="6"/>
      <c r="B515" s="6"/>
      <c r="C515" s="7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5.75" customHeight="1">
      <c r="A516" s="6"/>
      <c r="B516" s="6"/>
      <c r="C516" s="7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5.75" customHeight="1">
      <c r="A517" s="6"/>
      <c r="B517" s="6"/>
      <c r="C517" s="7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5.75" customHeight="1">
      <c r="A518" s="6"/>
      <c r="B518" s="6"/>
      <c r="C518" s="7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5.75" customHeight="1">
      <c r="A519" s="6"/>
      <c r="B519" s="6"/>
      <c r="C519" s="7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5.75" customHeight="1">
      <c r="A520" s="6"/>
      <c r="B520" s="6"/>
      <c r="C520" s="7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5.75" customHeight="1">
      <c r="A521" s="6"/>
      <c r="B521" s="6"/>
      <c r="C521" s="7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5.75" customHeight="1">
      <c r="A522" s="6"/>
      <c r="B522" s="6"/>
      <c r="C522" s="7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5.75" customHeight="1">
      <c r="A523" s="6"/>
      <c r="B523" s="6"/>
      <c r="C523" s="7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5.75" customHeight="1">
      <c r="A524" s="6"/>
      <c r="B524" s="6"/>
      <c r="C524" s="7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5.75" customHeight="1">
      <c r="A525" s="6"/>
      <c r="B525" s="6"/>
      <c r="C525" s="7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5.75" customHeight="1">
      <c r="A526" s="6"/>
      <c r="B526" s="6"/>
      <c r="C526" s="7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5.75" customHeight="1">
      <c r="A527" s="6"/>
      <c r="B527" s="6"/>
      <c r="C527" s="7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5.75" customHeight="1">
      <c r="A528" s="6"/>
      <c r="B528" s="6"/>
      <c r="C528" s="7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5.75" customHeight="1">
      <c r="A529" s="6"/>
      <c r="B529" s="6"/>
      <c r="C529" s="7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5.75" customHeight="1">
      <c r="A530" s="6"/>
      <c r="B530" s="6"/>
      <c r="C530" s="7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5.75" customHeight="1">
      <c r="A531" s="6"/>
      <c r="B531" s="6"/>
      <c r="C531" s="7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5.75" customHeight="1">
      <c r="A532" s="6"/>
      <c r="B532" s="6"/>
      <c r="C532" s="7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5.75" customHeight="1">
      <c r="A533" s="6"/>
      <c r="B533" s="6"/>
      <c r="C533" s="7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5.75" customHeight="1">
      <c r="A534" s="6"/>
      <c r="B534" s="6"/>
      <c r="C534" s="7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5.75" customHeight="1">
      <c r="A535" s="6"/>
      <c r="B535" s="6"/>
      <c r="C535" s="7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5.75" customHeight="1">
      <c r="A536" s="6"/>
      <c r="B536" s="6"/>
      <c r="C536" s="7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5.75" customHeight="1">
      <c r="A537" s="6"/>
      <c r="B537" s="6"/>
      <c r="C537" s="7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5.75" customHeight="1">
      <c r="A538" s="6"/>
      <c r="B538" s="6"/>
      <c r="C538" s="7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5.75" customHeight="1">
      <c r="A539" s="6"/>
      <c r="B539" s="6"/>
      <c r="C539" s="7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5.75" customHeight="1">
      <c r="A540" s="6"/>
      <c r="B540" s="6"/>
      <c r="C540" s="7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5.75" customHeight="1">
      <c r="A541" s="6"/>
      <c r="B541" s="6"/>
      <c r="C541" s="7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5.75" customHeight="1">
      <c r="A542" s="6"/>
      <c r="B542" s="6"/>
      <c r="C542" s="7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5.75" customHeight="1">
      <c r="A543" s="6"/>
      <c r="B543" s="6"/>
      <c r="C543" s="7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5.75" customHeight="1">
      <c r="A544" s="6"/>
      <c r="B544" s="6"/>
      <c r="C544" s="7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5.75" customHeight="1">
      <c r="A545" s="6"/>
      <c r="B545" s="6"/>
      <c r="C545" s="7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5.75" customHeight="1">
      <c r="A546" s="6"/>
      <c r="B546" s="6"/>
      <c r="C546" s="7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5.75" customHeight="1">
      <c r="A547" s="6"/>
      <c r="B547" s="6"/>
      <c r="C547" s="7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5.75" customHeight="1">
      <c r="A548" s="6"/>
      <c r="B548" s="6"/>
      <c r="C548" s="7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5.75" customHeight="1">
      <c r="A549" s="6"/>
      <c r="B549" s="6"/>
      <c r="C549" s="7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5.75" customHeight="1">
      <c r="A550" s="6"/>
      <c r="B550" s="6"/>
      <c r="C550" s="7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5.75" customHeight="1">
      <c r="A551" s="6"/>
      <c r="B551" s="6"/>
      <c r="C551" s="7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5.75" customHeight="1">
      <c r="A552" s="6"/>
      <c r="B552" s="6"/>
      <c r="C552" s="7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5.75" customHeight="1">
      <c r="A553" s="6"/>
      <c r="B553" s="6"/>
      <c r="C553" s="7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5.75" customHeight="1">
      <c r="A554" s="6"/>
      <c r="B554" s="6"/>
      <c r="C554" s="7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5.75" customHeight="1">
      <c r="A555" s="6"/>
      <c r="B555" s="6"/>
      <c r="C555" s="7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5.75" customHeight="1">
      <c r="A556" s="6"/>
      <c r="B556" s="6"/>
      <c r="C556" s="7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5.75" customHeight="1">
      <c r="A557" s="6"/>
      <c r="B557" s="6"/>
      <c r="C557" s="7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5.75" customHeight="1">
      <c r="A558" s="6"/>
      <c r="B558" s="6"/>
      <c r="C558" s="7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5.75" customHeight="1">
      <c r="A559" s="6"/>
      <c r="B559" s="6"/>
      <c r="C559" s="7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5.75" customHeight="1">
      <c r="A560" s="6"/>
      <c r="B560" s="6"/>
      <c r="C560" s="7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5.75" customHeight="1">
      <c r="A561" s="6"/>
      <c r="B561" s="6"/>
      <c r="C561" s="7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5.75" customHeight="1">
      <c r="A562" s="6"/>
      <c r="B562" s="6"/>
      <c r="C562" s="7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5.75" customHeight="1">
      <c r="A563" s="6"/>
      <c r="B563" s="6"/>
      <c r="C563" s="7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5.75" customHeight="1">
      <c r="A564" s="6"/>
      <c r="B564" s="6"/>
      <c r="C564" s="7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5.75" customHeight="1">
      <c r="A565" s="6"/>
      <c r="B565" s="6"/>
      <c r="C565" s="7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5.75" customHeight="1">
      <c r="A566" s="6"/>
      <c r="B566" s="6"/>
      <c r="C566" s="7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5.75" customHeight="1">
      <c r="A567" s="6"/>
      <c r="B567" s="6"/>
      <c r="C567" s="7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5.75" customHeight="1">
      <c r="A568" s="6"/>
      <c r="B568" s="6"/>
      <c r="C568" s="7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5.75" customHeight="1">
      <c r="A569" s="6"/>
      <c r="B569" s="6"/>
      <c r="C569" s="7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5.75" customHeight="1">
      <c r="A570" s="6"/>
      <c r="B570" s="6"/>
      <c r="C570" s="7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5.75" customHeight="1">
      <c r="A571" s="6"/>
      <c r="B571" s="6"/>
      <c r="C571" s="7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5.75" customHeight="1">
      <c r="A572" s="6"/>
      <c r="B572" s="6"/>
      <c r="C572" s="7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5.75" customHeight="1">
      <c r="A573" s="6"/>
      <c r="B573" s="6"/>
      <c r="C573" s="7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5.75" customHeight="1">
      <c r="A574" s="6"/>
      <c r="B574" s="6"/>
      <c r="C574" s="7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5.75" customHeight="1">
      <c r="A575" s="6"/>
      <c r="B575" s="6"/>
      <c r="C575" s="7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5.75" customHeight="1">
      <c r="A576" s="6"/>
      <c r="B576" s="6"/>
      <c r="C576" s="7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5.75" customHeight="1">
      <c r="A577" s="6"/>
      <c r="B577" s="6"/>
      <c r="C577" s="7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5.75" customHeight="1">
      <c r="A578" s="6"/>
      <c r="B578" s="6"/>
      <c r="C578" s="7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5.75" customHeight="1">
      <c r="A579" s="6"/>
      <c r="B579" s="6"/>
      <c r="C579" s="7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5.75" customHeight="1">
      <c r="A580" s="6"/>
      <c r="B580" s="6"/>
      <c r="C580" s="7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5.75" customHeight="1">
      <c r="A581" s="6"/>
      <c r="B581" s="6"/>
      <c r="C581" s="7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5.75" customHeight="1">
      <c r="A582" s="6"/>
      <c r="B582" s="6"/>
      <c r="C582" s="7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5.75" customHeight="1">
      <c r="A583" s="6"/>
      <c r="B583" s="6"/>
      <c r="C583" s="7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5.75" customHeight="1">
      <c r="A584" s="6"/>
      <c r="B584" s="6"/>
      <c r="C584" s="7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5.75" customHeight="1">
      <c r="A585" s="6"/>
      <c r="B585" s="6"/>
      <c r="C585" s="7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5.75" customHeight="1">
      <c r="A586" s="6"/>
      <c r="B586" s="6"/>
      <c r="C586" s="7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5.75" customHeight="1">
      <c r="A587" s="6"/>
      <c r="B587" s="6"/>
      <c r="C587" s="7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5.75" customHeight="1">
      <c r="A588" s="6"/>
      <c r="B588" s="6"/>
      <c r="C588" s="7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5.75" customHeight="1">
      <c r="A589" s="6"/>
      <c r="B589" s="6"/>
      <c r="C589" s="7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5.75" customHeight="1">
      <c r="A590" s="6"/>
      <c r="B590" s="6"/>
      <c r="C590" s="7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5.75" customHeight="1">
      <c r="A591" s="6"/>
      <c r="B591" s="6"/>
      <c r="C591" s="7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5.75" customHeight="1">
      <c r="A592" s="6"/>
      <c r="B592" s="6"/>
      <c r="C592" s="7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5.75" customHeight="1">
      <c r="A593" s="6"/>
      <c r="B593" s="6"/>
      <c r="C593" s="7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5.75" customHeight="1">
      <c r="A594" s="6"/>
      <c r="B594" s="6"/>
      <c r="C594" s="7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5.75" customHeight="1">
      <c r="A595" s="6"/>
      <c r="B595" s="6"/>
      <c r="C595" s="7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5.75" customHeight="1">
      <c r="A596" s="6"/>
      <c r="B596" s="6"/>
      <c r="C596" s="7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5.75" customHeight="1">
      <c r="A597" s="6"/>
      <c r="B597" s="6"/>
      <c r="C597" s="7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5.75" customHeight="1">
      <c r="A598" s="6"/>
      <c r="B598" s="6"/>
      <c r="C598" s="7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5.75" customHeight="1">
      <c r="A599" s="6"/>
      <c r="B599" s="6"/>
      <c r="C599" s="7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5.75" customHeight="1">
      <c r="A600" s="6"/>
      <c r="B600" s="6"/>
      <c r="C600" s="7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5.75" customHeight="1">
      <c r="A601" s="6"/>
      <c r="B601" s="6"/>
      <c r="C601" s="7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5.75" customHeight="1">
      <c r="A602" s="6"/>
      <c r="B602" s="6"/>
      <c r="C602" s="7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5.75" customHeight="1">
      <c r="A603" s="6"/>
      <c r="B603" s="6"/>
      <c r="C603" s="7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5.75" customHeight="1">
      <c r="A604" s="6"/>
      <c r="B604" s="6"/>
      <c r="C604" s="7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5.75" customHeight="1">
      <c r="A605" s="6"/>
      <c r="B605" s="6"/>
      <c r="C605" s="7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5.75" customHeight="1">
      <c r="A606" s="6"/>
      <c r="B606" s="6"/>
      <c r="C606" s="7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5.75" customHeight="1">
      <c r="A607" s="6"/>
      <c r="B607" s="6"/>
      <c r="C607" s="7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5.75" customHeight="1">
      <c r="A608" s="6"/>
      <c r="B608" s="6"/>
      <c r="C608" s="7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5.75" customHeight="1">
      <c r="A609" s="6"/>
      <c r="B609" s="6"/>
      <c r="C609" s="7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5.75" customHeight="1">
      <c r="A610" s="6"/>
      <c r="B610" s="6"/>
      <c r="C610" s="7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5.75" customHeight="1">
      <c r="A611" s="6"/>
      <c r="B611" s="6"/>
      <c r="C611" s="7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5.75" customHeight="1">
      <c r="A612" s="6"/>
      <c r="B612" s="6"/>
      <c r="C612" s="7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5.75" customHeight="1">
      <c r="A613" s="6"/>
      <c r="B613" s="6"/>
      <c r="C613" s="7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5.75" customHeight="1">
      <c r="A614" s="6"/>
      <c r="B614" s="6"/>
      <c r="C614" s="7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5.75" customHeight="1">
      <c r="A615" s="6"/>
      <c r="B615" s="6"/>
      <c r="C615" s="7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5.75" customHeight="1">
      <c r="A616" s="6"/>
      <c r="B616" s="6"/>
      <c r="C616" s="7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5.75" customHeight="1">
      <c r="A617" s="6"/>
      <c r="B617" s="6"/>
      <c r="C617" s="7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5.75" customHeight="1">
      <c r="A618" s="6"/>
      <c r="B618" s="6"/>
      <c r="C618" s="7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5.75" customHeight="1">
      <c r="A619" s="6"/>
      <c r="B619" s="6"/>
      <c r="C619" s="7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5.75" customHeight="1">
      <c r="A620" s="6"/>
      <c r="B620" s="6"/>
      <c r="C620" s="7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5.75" customHeight="1">
      <c r="A621" s="6"/>
      <c r="B621" s="6"/>
      <c r="C621" s="7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5.75" customHeight="1">
      <c r="A622" s="6"/>
      <c r="B622" s="6"/>
      <c r="C622" s="7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5.75" customHeight="1">
      <c r="A623" s="6"/>
      <c r="B623" s="6"/>
      <c r="C623" s="7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5.75" customHeight="1">
      <c r="A624" s="6"/>
      <c r="B624" s="6"/>
      <c r="C624" s="7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5.75" customHeight="1">
      <c r="A625" s="6"/>
      <c r="B625" s="6"/>
      <c r="C625" s="7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5.75" customHeight="1">
      <c r="A626" s="6"/>
      <c r="B626" s="6"/>
      <c r="C626" s="7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5.75" customHeight="1">
      <c r="A627" s="6"/>
      <c r="B627" s="6"/>
      <c r="C627" s="7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5.75" customHeight="1">
      <c r="A628" s="6"/>
      <c r="B628" s="6"/>
      <c r="C628" s="7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5.75" customHeight="1">
      <c r="A629" s="6"/>
      <c r="B629" s="6"/>
      <c r="C629" s="7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5.75" customHeight="1">
      <c r="A630" s="6"/>
      <c r="B630" s="6"/>
      <c r="C630" s="7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5.75" customHeight="1">
      <c r="A631" s="6"/>
      <c r="B631" s="6"/>
      <c r="C631" s="7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5.75" customHeight="1">
      <c r="A632" s="6"/>
      <c r="B632" s="6"/>
      <c r="C632" s="7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5.75" customHeight="1">
      <c r="A633" s="6"/>
      <c r="B633" s="6"/>
      <c r="C633" s="7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5.75" customHeight="1">
      <c r="A634" s="6"/>
      <c r="B634" s="6"/>
      <c r="C634" s="7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5.75" customHeight="1">
      <c r="A635" s="6"/>
      <c r="B635" s="6"/>
      <c r="C635" s="7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5.75" customHeight="1">
      <c r="A636" s="6"/>
      <c r="B636" s="6"/>
      <c r="C636" s="7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5.75" customHeight="1">
      <c r="A637" s="6"/>
      <c r="B637" s="6"/>
      <c r="C637" s="7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5.75" customHeight="1">
      <c r="A638" s="6"/>
      <c r="B638" s="6"/>
      <c r="C638" s="7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5.75" customHeight="1">
      <c r="A639" s="6"/>
      <c r="B639" s="6"/>
      <c r="C639" s="7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5.75" customHeight="1">
      <c r="A640" s="6"/>
      <c r="B640" s="6"/>
      <c r="C640" s="7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5.75" customHeight="1">
      <c r="A641" s="6"/>
      <c r="B641" s="6"/>
      <c r="C641" s="7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5.75" customHeight="1">
      <c r="A642" s="6"/>
      <c r="B642" s="6"/>
      <c r="C642" s="7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5.75" customHeight="1">
      <c r="A643" s="6"/>
      <c r="B643" s="6"/>
      <c r="C643" s="7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5.75" customHeight="1">
      <c r="A644" s="6"/>
      <c r="B644" s="6"/>
      <c r="C644" s="7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5.75" customHeight="1">
      <c r="A645" s="6"/>
      <c r="B645" s="6"/>
      <c r="C645" s="7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5.75" customHeight="1">
      <c r="A646" s="6"/>
      <c r="B646" s="6"/>
      <c r="C646" s="7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5.75" customHeight="1">
      <c r="A647" s="6"/>
      <c r="B647" s="6"/>
      <c r="C647" s="7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5.75" customHeight="1">
      <c r="A648" s="6"/>
      <c r="B648" s="6"/>
      <c r="C648" s="7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5.75" customHeight="1">
      <c r="A649" s="6"/>
      <c r="B649" s="6"/>
      <c r="C649" s="7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5.75" customHeight="1">
      <c r="A650" s="6"/>
      <c r="B650" s="6"/>
      <c r="C650" s="7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5.75" customHeight="1">
      <c r="A651" s="6"/>
      <c r="B651" s="6"/>
      <c r="C651" s="7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5.75" customHeight="1">
      <c r="A652" s="6"/>
      <c r="B652" s="6"/>
      <c r="C652" s="7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5.75" customHeight="1">
      <c r="A653" s="6"/>
      <c r="B653" s="6"/>
      <c r="C653" s="7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5.75" customHeight="1">
      <c r="A654" s="6"/>
      <c r="B654" s="6"/>
      <c r="C654" s="7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5.75" customHeight="1">
      <c r="A655" s="6"/>
      <c r="B655" s="6"/>
      <c r="C655" s="7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5.75" customHeight="1">
      <c r="A656" s="6"/>
      <c r="B656" s="6"/>
      <c r="C656" s="7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5.75" customHeight="1">
      <c r="A657" s="6"/>
      <c r="B657" s="6"/>
      <c r="C657" s="7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5.75" customHeight="1">
      <c r="A658" s="6"/>
      <c r="B658" s="6"/>
      <c r="C658" s="7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5.75" customHeight="1">
      <c r="A659" s="6"/>
      <c r="B659" s="6"/>
      <c r="C659" s="7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5.75" customHeight="1">
      <c r="A660" s="6"/>
      <c r="B660" s="6"/>
      <c r="C660" s="7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5.75" customHeight="1">
      <c r="A661" s="6"/>
      <c r="B661" s="6"/>
      <c r="C661" s="7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5.75" customHeight="1">
      <c r="A662" s="6"/>
      <c r="B662" s="6"/>
      <c r="C662" s="7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5.75" customHeight="1">
      <c r="A663" s="6"/>
      <c r="B663" s="6"/>
      <c r="C663" s="7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5.75" customHeight="1">
      <c r="A664" s="6"/>
      <c r="B664" s="6"/>
      <c r="C664" s="7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5.75" customHeight="1">
      <c r="A665" s="6"/>
      <c r="B665" s="6"/>
      <c r="C665" s="7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5.75" customHeight="1">
      <c r="A666" s="6"/>
      <c r="B666" s="6"/>
      <c r="C666" s="7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5.75" customHeight="1">
      <c r="A667" s="6"/>
      <c r="B667" s="6"/>
      <c r="C667" s="7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5.75" customHeight="1">
      <c r="A668" s="6"/>
      <c r="B668" s="6"/>
      <c r="C668" s="7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5.75" customHeight="1">
      <c r="A669" s="6"/>
      <c r="B669" s="6"/>
      <c r="C669" s="7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5.75" customHeight="1">
      <c r="A670" s="6"/>
      <c r="B670" s="6"/>
      <c r="C670" s="7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5.75" customHeight="1">
      <c r="A671" s="6"/>
      <c r="B671" s="6"/>
      <c r="C671" s="7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5.75" customHeight="1">
      <c r="A672" s="6"/>
      <c r="B672" s="6"/>
      <c r="C672" s="7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5.75" customHeight="1">
      <c r="A673" s="6"/>
      <c r="B673" s="6"/>
      <c r="C673" s="7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5.75" customHeight="1">
      <c r="A674" s="6"/>
      <c r="B674" s="6"/>
      <c r="C674" s="7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5.75" customHeight="1">
      <c r="A675" s="6"/>
      <c r="B675" s="6"/>
      <c r="C675" s="7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5.75" customHeight="1">
      <c r="A676" s="6"/>
      <c r="B676" s="6"/>
      <c r="C676" s="7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5.75" customHeight="1">
      <c r="A677" s="6"/>
      <c r="B677" s="6"/>
      <c r="C677" s="7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5.75" customHeight="1">
      <c r="A678" s="6"/>
      <c r="B678" s="6"/>
      <c r="C678" s="7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5.75" customHeight="1">
      <c r="A679" s="6"/>
      <c r="B679" s="6"/>
      <c r="C679" s="7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5.75" customHeight="1">
      <c r="A680" s="6"/>
      <c r="B680" s="6"/>
      <c r="C680" s="7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5.75" customHeight="1">
      <c r="A681" s="6"/>
      <c r="B681" s="6"/>
      <c r="C681" s="7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5.75" customHeight="1">
      <c r="A682" s="6"/>
      <c r="B682" s="6"/>
      <c r="C682" s="7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5.75" customHeight="1">
      <c r="A683" s="6"/>
      <c r="B683" s="6"/>
      <c r="C683" s="7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5.75" customHeight="1">
      <c r="A684" s="6"/>
      <c r="B684" s="6"/>
      <c r="C684" s="7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5.75" customHeight="1">
      <c r="A685" s="6"/>
      <c r="B685" s="6"/>
      <c r="C685" s="7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5.75" customHeight="1">
      <c r="A686" s="6"/>
      <c r="B686" s="6"/>
      <c r="C686" s="7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5.75" customHeight="1">
      <c r="A687" s="6"/>
      <c r="B687" s="6"/>
      <c r="C687" s="7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5.75" customHeight="1">
      <c r="A688" s="6"/>
      <c r="B688" s="6"/>
      <c r="C688" s="7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5.75" customHeight="1">
      <c r="A689" s="6"/>
      <c r="B689" s="6"/>
      <c r="C689" s="7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5.75" customHeight="1">
      <c r="A690" s="6"/>
      <c r="B690" s="6"/>
      <c r="C690" s="7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5.75" customHeight="1">
      <c r="A691" s="6"/>
      <c r="B691" s="6"/>
      <c r="C691" s="7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5.75" customHeight="1">
      <c r="A692" s="6"/>
      <c r="B692" s="6"/>
      <c r="C692" s="7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5.75" customHeight="1">
      <c r="A693" s="6"/>
      <c r="B693" s="6"/>
      <c r="C693" s="7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5.75" customHeight="1">
      <c r="A694" s="6"/>
      <c r="B694" s="6"/>
      <c r="C694" s="7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5.75" customHeight="1">
      <c r="A695" s="6"/>
      <c r="B695" s="6"/>
      <c r="C695" s="7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5.75" customHeight="1">
      <c r="A696" s="6"/>
      <c r="B696" s="6"/>
      <c r="C696" s="7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5.75" customHeight="1">
      <c r="A697" s="6"/>
      <c r="B697" s="6"/>
      <c r="C697" s="7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5.75" customHeight="1">
      <c r="A698" s="6"/>
      <c r="B698" s="6"/>
      <c r="C698" s="7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5.75" customHeight="1">
      <c r="A699" s="6"/>
      <c r="B699" s="6"/>
      <c r="C699" s="7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5.75" customHeight="1">
      <c r="A700" s="6"/>
      <c r="B700" s="6"/>
      <c r="C700" s="7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5.75" customHeight="1">
      <c r="A701" s="6"/>
      <c r="B701" s="6"/>
      <c r="C701" s="7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5.75" customHeight="1">
      <c r="A702" s="6"/>
      <c r="B702" s="6"/>
      <c r="C702" s="7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5.75" customHeight="1">
      <c r="A703" s="6"/>
      <c r="B703" s="6"/>
      <c r="C703" s="7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5.75" customHeight="1">
      <c r="A704" s="6"/>
      <c r="B704" s="6"/>
      <c r="C704" s="7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5.75" customHeight="1">
      <c r="A705" s="6"/>
      <c r="B705" s="6"/>
      <c r="C705" s="7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5.75" customHeight="1">
      <c r="A706" s="6"/>
      <c r="B706" s="6"/>
      <c r="C706" s="7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5.75" customHeight="1">
      <c r="A707" s="6"/>
      <c r="B707" s="6"/>
      <c r="C707" s="7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5.75" customHeight="1">
      <c r="A708" s="6"/>
      <c r="B708" s="6"/>
      <c r="C708" s="7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5.75" customHeight="1">
      <c r="A709" s="6"/>
      <c r="B709" s="6"/>
      <c r="C709" s="7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5.75" customHeight="1">
      <c r="A710" s="6"/>
      <c r="B710" s="6"/>
      <c r="C710" s="7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5.75" customHeight="1">
      <c r="A711" s="6"/>
      <c r="B711" s="6"/>
      <c r="C711" s="7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5.75" customHeight="1">
      <c r="A712" s="6"/>
      <c r="B712" s="6"/>
      <c r="C712" s="7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5.75" customHeight="1">
      <c r="A713" s="6"/>
      <c r="B713" s="6"/>
      <c r="C713" s="7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5.75" customHeight="1">
      <c r="A714" s="6"/>
      <c r="B714" s="6"/>
      <c r="C714" s="7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5.75" customHeight="1">
      <c r="A715" s="6"/>
      <c r="B715" s="6"/>
      <c r="C715" s="7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5.75" customHeight="1">
      <c r="A716" s="6"/>
      <c r="B716" s="6"/>
      <c r="C716" s="7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5.75" customHeight="1">
      <c r="A717" s="6"/>
      <c r="B717" s="6"/>
      <c r="C717" s="7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5.75" customHeight="1">
      <c r="A718" s="6"/>
      <c r="B718" s="6"/>
      <c r="C718" s="7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5.75" customHeight="1">
      <c r="A719" s="6"/>
      <c r="B719" s="6"/>
      <c r="C719" s="7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5.75" customHeight="1">
      <c r="A720" s="6"/>
      <c r="B720" s="6"/>
      <c r="C720" s="7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5.75" customHeight="1">
      <c r="A721" s="6"/>
      <c r="B721" s="6"/>
      <c r="C721" s="7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5.75" customHeight="1">
      <c r="A722" s="6"/>
      <c r="B722" s="6"/>
      <c r="C722" s="7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5.75" customHeight="1">
      <c r="A723" s="6"/>
      <c r="B723" s="6"/>
      <c r="C723" s="7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5.75" customHeight="1">
      <c r="A724" s="6"/>
      <c r="B724" s="6"/>
      <c r="C724" s="7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5.75" customHeight="1">
      <c r="A725" s="6"/>
      <c r="B725" s="6"/>
      <c r="C725" s="7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5.75" customHeight="1">
      <c r="A726" s="6"/>
      <c r="B726" s="6"/>
      <c r="C726" s="7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5.75" customHeight="1">
      <c r="A727" s="6"/>
      <c r="B727" s="6"/>
      <c r="C727" s="7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5.75" customHeight="1">
      <c r="A728" s="6"/>
      <c r="B728" s="6"/>
      <c r="C728" s="7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5.75" customHeight="1">
      <c r="A729" s="6"/>
      <c r="B729" s="6"/>
      <c r="C729" s="7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5.75" customHeight="1">
      <c r="A730" s="6"/>
      <c r="B730" s="6"/>
      <c r="C730" s="7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5.75" customHeight="1">
      <c r="A731" s="6"/>
      <c r="B731" s="6"/>
      <c r="C731" s="7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5.75" customHeight="1">
      <c r="A732" s="6"/>
      <c r="B732" s="6"/>
      <c r="C732" s="7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5.75" customHeight="1">
      <c r="A733" s="6"/>
      <c r="B733" s="6"/>
      <c r="C733" s="7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5.75" customHeight="1">
      <c r="A734" s="6"/>
      <c r="B734" s="6"/>
      <c r="C734" s="7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5.75" customHeight="1">
      <c r="A735" s="6"/>
      <c r="B735" s="6"/>
      <c r="C735" s="7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5.75" customHeight="1">
      <c r="A736" s="6"/>
      <c r="B736" s="6"/>
      <c r="C736" s="7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5.75" customHeight="1">
      <c r="A737" s="6"/>
      <c r="B737" s="6"/>
      <c r="C737" s="7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5.75" customHeight="1">
      <c r="A738" s="6"/>
      <c r="B738" s="6"/>
      <c r="C738" s="7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5.75" customHeight="1">
      <c r="A739" s="6"/>
      <c r="B739" s="6"/>
      <c r="C739" s="7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5.75" customHeight="1">
      <c r="A740" s="6"/>
      <c r="B740" s="6"/>
      <c r="C740" s="7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5.75" customHeight="1">
      <c r="A741" s="6"/>
      <c r="B741" s="6"/>
      <c r="C741" s="7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5.75" customHeight="1">
      <c r="A742" s="6"/>
      <c r="B742" s="6"/>
      <c r="C742" s="7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5.75" customHeight="1">
      <c r="A743" s="6"/>
      <c r="B743" s="6"/>
      <c r="C743" s="7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5.75" customHeight="1">
      <c r="A744" s="6"/>
      <c r="B744" s="6"/>
      <c r="C744" s="7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5.75" customHeight="1">
      <c r="A745" s="6"/>
      <c r="B745" s="6"/>
      <c r="C745" s="7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5.75" customHeight="1">
      <c r="A746" s="6"/>
      <c r="B746" s="6"/>
      <c r="C746" s="7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5.75" customHeight="1">
      <c r="A747" s="6"/>
      <c r="B747" s="6"/>
      <c r="C747" s="7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5.75" customHeight="1">
      <c r="A748" s="6"/>
      <c r="B748" s="6"/>
      <c r="C748" s="7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5.75" customHeight="1">
      <c r="A749" s="6"/>
      <c r="B749" s="6"/>
      <c r="C749" s="7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5.75" customHeight="1">
      <c r="A750" s="6"/>
      <c r="B750" s="6"/>
      <c r="C750" s="7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5.75" customHeight="1">
      <c r="A751" s="6"/>
      <c r="B751" s="6"/>
      <c r="C751" s="7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5.75" customHeight="1">
      <c r="A752" s="6"/>
      <c r="B752" s="6"/>
      <c r="C752" s="7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5.75" customHeight="1">
      <c r="A753" s="6"/>
      <c r="B753" s="6"/>
      <c r="C753" s="7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5.75" customHeight="1">
      <c r="A754" s="6"/>
      <c r="B754" s="6"/>
      <c r="C754" s="7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5.75" customHeight="1">
      <c r="A755" s="6"/>
      <c r="B755" s="6"/>
      <c r="C755" s="7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5.75" customHeight="1">
      <c r="A756" s="6"/>
      <c r="B756" s="6"/>
      <c r="C756" s="7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5.75" customHeight="1">
      <c r="A757" s="6"/>
      <c r="B757" s="6"/>
      <c r="C757" s="7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5.75" customHeight="1">
      <c r="A758" s="6"/>
      <c r="B758" s="6"/>
      <c r="C758" s="7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5.75" customHeight="1">
      <c r="A759" s="6"/>
      <c r="B759" s="6"/>
      <c r="C759" s="7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5.75" customHeight="1">
      <c r="A760" s="6"/>
      <c r="B760" s="6"/>
      <c r="C760" s="7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5.75" customHeight="1">
      <c r="A761" s="6"/>
      <c r="B761" s="6"/>
      <c r="C761" s="7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5.75" customHeight="1">
      <c r="A762" s="6"/>
      <c r="B762" s="6"/>
      <c r="C762" s="7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5.75" customHeight="1">
      <c r="A763" s="6"/>
      <c r="B763" s="6"/>
      <c r="C763" s="7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5.75" customHeight="1">
      <c r="A764" s="6"/>
      <c r="B764" s="6"/>
      <c r="C764" s="7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5.75" customHeight="1">
      <c r="A765" s="6"/>
      <c r="B765" s="6"/>
      <c r="C765" s="7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5.75" customHeight="1">
      <c r="A766" s="6"/>
      <c r="B766" s="6"/>
      <c r="C766" s="7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5.75" customHeight="1">
      <c r="A767" s="6"/>
      <c r="B767" s="6"/>
      <c r="C767" s="7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5.75" customHeight="1">
      <c r="A768" s="6"/>
      <c r="B768" s="6"/>
      <c r="C768" s="7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5.75" customHeight="1">
      <c r="A769" s="6"/>
      <c r="B769" s="6"/>
      <c r="C769" s="7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5.75" customHeight="1">
      <c r="A770" s="6"/>
      <c r="B770" s="6"/>
      <c r="C770" s="7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5.75" customHeight="1">
      <c r="A771" s="6"/>
      <c r="B771" s="6"/>
      <c r="C771" s="7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5.75" customHeight="1">
      <c r="A772" s="6"/>
      <c r="B772" s="6"/>
      <c r="C772" s="7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5.75" customHeight="1">
      <c r="A773" s="6"/>
      <c r="B773" s="6"/>
      <c r="C773" s="7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5.75" customHeight="1">
      <c r="A774" s="6"/>
      <c r="B774" s="6"/>
      <c r="C774" s="7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5.75" customHeight="1">
      <c r="A775" s="6"/>
      <c r="B775" s="6"/>
      <c r="C775" s="7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5.75" customHeight="1">
      <c r="A776" s="6"/>
      <c r="B776" s="6"/>
      <c r="C776" s="7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5.75" customHeight="1">
      <c r="A777" s="6"/>
      <c r="B777" s="6"/>
      <c r="C777" s="7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5.75" customHeight="1">
      <c r="A778" s="6"/>
      <c r="B778" s="6"/>
      <c r="C778" s="7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5.75" customHeight="1">
      <c r="A779" s="6"/>
      <c r="B779" s="6"/>
      <c r="C779" s="7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5.75" customHeight="1">
      <c r="A780" s="6"/>
      <c r="B780" s="6"/>
      <c r="C780" s="7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5.75" customHeight="1">
      <c r="A781" s="6"/>
      <c r="B781" s="6"/>
      <c r="C781" s="7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5.75" customHeight="1">
      <c r="A782" s="6"/>
      <c r="B782" s="6"/>
      <c r="C782" s="7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5.75" customHeight="1">
      <c r="A783" s="6"/>
      <c r="B783" s="6"/>
      <c r="C783" s="7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5.75" customHeight="1">
      <c r="A784" s="6"/>
      <c r="B784" s="6"/>
      <c r="C784" s="7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5.75" customHeight="1">
      <c r="A785" s="6"/>
      <c r="B785" s="6"/>
      <c r="C785" s="7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5.75" customHeight="1">
      <c r="A786" s="6"/>
      <c r="B786" s="6"/>
      <c r="C786" s="7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5.75" customHeight="1">
      <c r="A787" s="6"/>
      <c r="B787" s="6"/>
      <c r="C787" s="7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5.75" customHeight="1">
      <c r="A788" s="6"/>
      <c r="B788" s="6"/>
      <c r="C788" s="7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5.75" customHeight="1">
      <c r="A789" s="6"/>
      <c r="B789" s="6"/>
      <c r="C789" s="7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5.75" customHeight="1">
      <c r="A790" s="6"/>
      <c r="B790" s="6"/>
      <c r="C790" s="7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5.75" customHeight="1">
      <c r="A791" s="6"/>
      <c r="B791" s="6"/>
      <c r="C791" s="7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5.75" customHeight="1">
      <c r="A792" s="6"/>
      <c r="B792" s="6"/>
      <c r="C792" s="7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5.75" customHeight="1">
      <c r="A793" s="6"/>
      <c r="B793" s="6"/>
      <c r="C793" s="7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5.75" customHeight="1">
      <c r="A794" s="6"/>
      <c r="B794" s="6"/>
      <c r="C794" s="7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5.75" customHeight="1">
      <c r="A795" s="6"/>
      <c r="B795" s="6"/>
      <c r="C795" s="7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5.75" customHeight="1">
      <c r="A796" s="6"/>
      <c r="B796" s="6"/>
      <c r="C796" s="7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5.75" customHeight="1">
      <c r="A797" s="6"/>
      <c r="B797" s="6"/>
      <c r="C797" s="7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5.75" customHeight="1">
      <c r="A798" s="6"/>
      <c r="B798" s="6"/>
      <c r="C798" s="7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5.75" customHeight="1">
      <c r="A799" s="6"/>
      <c r="B799" s="6"/>
      <c r="C799" s="7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5.75" customHeight="1">
      <c r="A800" s="6"/>
      <c r="B800" s="6"/>
      <c r="C800" s="7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5.75" customHeight="1">
      <c r="A801" s="6"/>
      <c r="B801" s="6"/>
      <c r="C801" s="7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5.75" customHeight="1">
      <c r="A802" s="6"/>
      <c r="B802" s="6"/>
      <c r="C802" s="7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5.75" customHeight="1">
      <c r="A803" s="6"/>
      <c r="B803" s="6"/>
      <c r="C803" s="7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5.75" customHeight="1">
      <c r="A804" s="6"/>
      <c r="B804" s="6"/>
      <c r="C804" s="7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5.75" customHeight="1">
      <c r="A805" s="6"/>
      <c r="B805" s="6"/>
      <c r="C805" s="7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5.75" customHeight="1">
      <c r="A806" s="6"/>
      <c r="B806" s="6"/>
      <c r="C806" s="7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5.75" customHeight="1">
      <c r="A807" s="6"/>
      <c r="B807" s="6"/>
      <c r="C807" s="7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5.75" customHeight="1">
      <c r="A808" s="6"/>
      <c r="B808" s="6"/>
      <c r="C808" s="7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5.75" customHeight="1">
      <c r="A809" s="6"/>
      <c r="B809" s="6"/>
      <c r="C809" s="7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5.75" customHeight="1">
      <c r="A810" s="6"/>
      <c r="B810" s="6"/>
      <c r="C810" s="7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5.75" customHeight="1">
      <c r="A811" s="6"/>
      <c r="B811" s="6"/>
      <c r="C811" s="7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5.75" customHeight="1">
      <c r="A812" s="6"/>
      <c r="B812" s="6"/>
      <c r="C812" s="7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5.75" customHeight="1">
      <c r="A813" s="6"/>
      <c r="B813" s="6"/>
      <c r="C813" s="7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5.75" customHeight="1">
      <c r="A814" s="6"/>
      <c r="B814" s="6"/>
      <c r="C814" s="7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5.75" customHeight="1">
      <c r="A815" s="6"/>
      <c r="B815" s="6"/>
      <c r="C815" s="7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5.75" customHeight="1">
      <c r="A816" s="6"/>
      <c r="B816" s="6"/>
      <c r="C816" s="7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5.75" customHeight="1">
      <c r="A817" s="6"/>
      <c r="B817" s="6"/>
      <c r="C817" s="7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5.75" customHeight="1">
      <c r="A818" s="6"/>
      <c r="B818" s="6"/>
      <c r="C818" s="7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5.75" customHeight="1">
      <c r="A819" s="6"/>
      <c r="B819" s="6"/>
      <c r="C819" s="7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5.75" customHeight="1">
      <c r="A820" s="6"/>
      <c r="B820" s="6"/>
      <c r="C820" s="7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5.75" customHeight="1">
      <c r="A821" s="6"/>
      <c r="B821" s="6"/>
      <c r="C821" s="7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5.75" customHeight="1">
      <c r="A822" s="6"/>
      <c r="B822" s="6"/>
      <c r="C822" s="7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5.75" customHeight="1">
      <c r="A823" s="6"/>
      <c r="B823" s="6"/>
      <c r="C823" s="7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5.75" customHeight="1">
      <c r="A824" s="6"/>
      <c r="B824" s="6"/>
      <c r="C824" s="7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5.75" customHeight="1">
      <c r="A825" s="6"/>
      <c r="B825" s="6"/>
      <c r="C825" s="7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5.75" customHeight="1">
      <c r="A826" s="6"/>
      <c r="B826" s="6"/>
      <c r="C826" s="7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5.75" customHeight="1">
      <c r="A827" s="6"/>
      <c r="B827" s="6"/>
      <c r="C827" s="7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5.75" customHeight="1">
      <c r="A828" s="6"/>
      <c r="B828" s="6"/>
      <c r="C828" s="7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5.75" customHeight="1">
      <c r="A829" s="6"/>
      <c r="B829" s="6"/>
      <c r="C829" s="7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5.75" customHeight="1">
      <c r="A830" s="6"/>
      <c r="B830" s="6"/>
      <c r="C830" s="7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5.75" customHeight="1">
      <c r="A831" s="6"/>
      <c r="B831" s="6"/>
      <c r="C831" s="7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5.75" customHeight="1">
      <c r="A832" s="6"/>
      <c r="B832" s="6"/>
      <c r="C832" s="7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5.75" customHeight="1">
      <c r="A833" s="6"/>
      <c r="B833" s="6"/>
      <c r="C833" s="7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5.75" customHeight="1">
      <c r="A834" s="6"/>
      <c r="B834" s="6"/>
      <c r="C834" s="7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5.75" customHeight="1">
      <c r="A835" s="6"/>
      <c r="B835" s="6"/>
      <c r="C835" s="7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5.75" customHeight="1">
      <c r="A836" s="6"/>
      <c r="B836" s="6"/>
      <c r="C836" s="7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5.75" customHeight="1">
      <c r="A837" s="6"/>
      <c r="B837" s="6"/>
      <c r="C837" s="7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5.75" customHeight="1">
      <c r="A838" s="6"/>
      <c r="B838" s="6"/>
      <c r="C838" s="7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5.75" customHeight="1">
      <c r="A839" s="6"/>
      <c r="B839" s="6"/>
      <c r="C839" s="7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5.75" customHeight="1">
      <c r="A840" s="6"/>
      <c r="B840" s="6"/>
      <c r="C840" s="7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5.75" customHeight="1">
      <c r="A841" s="6"/>
      <c r="B841" s="6"/>
      <c r="C841" s="7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5.75" customHeight="1">
      <c r="A842" s="6"/>
      <c r="B842" s="6"/>
      <c r="C842" s="7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5.75" customHeight="1">
      <c r="A843" s="6"/>
      <c r="B843" s="6"/>
      <c r="C843" s="7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5.75" customHeight="1">
      <c r="A844" s="6"/>
      <c r="B844" s="6"/>
      <c r="C844" s="7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5.75" customHeight="1">
      <c r="A845" s="6"/>
      <c r="B845" s="6"/>
      <c r="C845" s="7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5.75" customHeight="1">
      <c r="A846" s="6"/>
      <c r="B846" s="6"/>
      <c r="C846" s="7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5.75" customHeight="1">
      <c r="A847" s="6"/>
      <c r="B847" s="6"/>
      <c r="C847" s="7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5.75" customHeight="1">
      <c r="A848" s="6"/>
      <c r="B848" s="6"/>
      <c r="C848" s="7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5.75" customHeight="1">
      <c r="A849" s="6"/>
      <c r="B849" s="6"/>
      <c r="C849" s="7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5.75" customHeight="1">
      <c r="A850" s="6"/>
      <c r="B850" s="6"/>
      <c r="C850" s="7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5.75" customHeight="1">
      <c r="A851" s="6"/>
      <c r="B851" s="6"/>
      <c r="C851" s="7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5.75" customHeight="1">
      <c r="A852" s="6"/>
      <c r="B852" s="6"/>
      <c r="C852" s="7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5.75" customHeight="1">
      <c r="A853" s="6"/>
      <c r="B853" s="6"/>
      <c r="C853" s="7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5.75" customHeight="1">
      <c r="A854" s="6"/>
      <c r="B854" s="6"/>
      <c r="C854" s="7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5.75" customHeight="1">
      <c r="A855" s="6"/>
      <c r="B855" s="6"/>
      <c r="C855" s="7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5.75" customHeight="1">
      <c r="A856" s="6"/>
      <c r="B856" s="6"/>
      <c r="C856" s="7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5.75" customHeight="1">
      <c r="A857" s="6"/>
      <c r="B857" s="6"/>
      <c r="C857" s="7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5.75" customHeight="1">
      <c r="A858" s="6"/>
      <c r="B858" s="6"/>
      <c r="C858" s="7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5.75" customHeight="1">
      <c r="A859" s="6"/>
      <c r="B859" s="6"/>
      <c r="C859" s="7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5.75" customHeight="1">
      <c r="A860" s="6"/>
      <c r="B860" s="6"/>
      <c r="C860" s="7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5.75" customHeight="1">
      <c r="A861" s="6"/>
      <c r="B861" s="6"/>
      <c r="C861" s="7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5.75" customHeight="1">
      <c r="A862" s="6"/>
      <c r="B862" s="6"/>
      <c r="C862" s="7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5.75" customHeight="1">
      <c r="A863" s="6"/>
      <c r="B863" s="6"/>
      <c r="C863" s="7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5.75" customHeight="1">
      <c r="A864" s="6"/>
      <c r="B864" s="6"/>
      <c r="C864" s="7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5.75" customHeight="1">
      <c r="A865" s="6"/>
      <c r="B865" s="6"/>
      <c r="C865" s="7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5.75" customHeight="1">
      <c r="A866" s="6"/>
      <c r="B866" s="6"/>
      <c r="C866" s="7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5.75" customHeight="1">
      <c r="A867" s="6"/>
      <c r="B867" s="6"/>
      <c r="C867" s="7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5.75" customHeight="1">
      <c r="A868" s="6"/>
      <c r="B868" s="6"/>
      <c r="C868" s="7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5.75" customHeight="1">
      <c r="A869" s="6"/>
      <c r="B869" s="6"/>
      <c r="C869" s="7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5.75" customHeight="1">
      <c r="A870" s="6"/>
      <c r="B870" s="6"/>
      <c r="C870" s="7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5.75" customHeight="1">
      <c r="A871" s="6"/>
      <c r="B871" s="6"/>
      <c r="C871" s="7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5.75" customHeight="1">
      <c r="A872" s="6"/>
      <c r="B872" s="6"/>
      <c r="C872" s="7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5.75" customHeight="1">
      <c r="A873" s="6"/>
      <c r="B873" s="6"/>
      <c r="C873" s="7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5.75" customHeight="1">
      <c r="A874" s="6"/>
      <c r="B874" s="6"/>
      <c r="C874" s="7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5.75" customHeight="1">
      <c r="A875" s="6"/>
      <c r="B875" s="6"/>
      <c r="C875" s="7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5.75" customHeight="1">
      <c r="A876" s="6"/>
      <c r="B876" s="6"/>
      <c r="C876" s="7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5.75" customHeight="1">
      <c r="A877" s="6"/>
      <c r="B877" s="6"/>
      <c r="C877" s="7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5.75" customHeight="1">
      <c r="A878" s="6"/>
      <c r="B878" s="6"/>
      <c r="C878" s="7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5.75" customHeight="1">
      <c r="A879" s="6"/>
      <c r="B879" s="6"/>
      <c r="C879" s="7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5.75" customHeight="1">
      <c r="A880" s="6"/>
      <c r="B880" s="6"/>
      <c r="C880" s="7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5.75" customHeight="1">
      <c r="A881" s="6"/>
      <c r="B881" s="6"/>
      <c r="C881" s="7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5.75" customHeight="1">
      <c r="A882" s="6"/>
      <c r="B882" s="6"/>
      <c r="C882" s="7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5.75" customHeight="1">
      <c r="A883" s="6"/>
      <c r="B883" s="6"/>
      <c r="C883" s="7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5.75" customHeight="1">
      <c r="A884" s="6"/>
      <c r="B884" s="6"/>
      <c r="C884" s="7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5.75" customHeight="1">
      <c r="A885" s="6"/>
      <c r="B885" s="6"/>
      <c r="C885" s="7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5.75" customHeight="1">
      <c r="A886" s="6"/>
      <c r="B886" s="6"/>
      <c r="C886" s="7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5.75" customHeight="1">
      <c r="A887" s="6"/>
      <c r="B887" s="6"/>
      <c r="C887" s="7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5.75" customHeight="1">
      <c r="A888" s="6"/>
      <c r="B888" s="6"/>
      <c r="C888" s="7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5.75" customHeight="1">
      <c r="A889" s="6"/>
      <c r="B889" s="6"/>
      <c r="C889" s="7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5.75" customHeight="1">
      <c r="A890" s="6"/>
      <c r="B890" s="6"/>
      <c r="C890" s="7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5.75" customHeight="1">
      <c r="A891" s="6"/>
      <c r="B891" s="6"/>
      <c r="C891" s="7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5.75" customHeight="1">
      <c r="A892" s="6"/>
      <c r="B892" s="6"/>
      <c r="C892" s="7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5.75" customHeight="1">
      <c r="A893" s="6"/>
      <c r="B893" s="6"/>
      <c r="C893" s="7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5.75" customHeight="1">
      <c r="A894" s="6"/>
      <c r="B894" s="6"/>
      <c r="C894" s="7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5.75" customHeight="1">
      <c r="A895" s="6"/>
      <c r="B895" s="6"/>
      <c r="C895" s="7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5.75" customHeight="1">
      <c r="A896" s="6"/>
      <c r="B896" s="6"/>
      <c r="C896" s="7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5.75" customHeight="1">
      <c r="A897" s="6"/>
      <c r="B897" s="6"/>
      <c r="C897" s="7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5.75" customHeight="1">
      <c r="A898" s="6"/>
      <c r="B898" s="6"/>
      <c r="C898" s="7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5.75" customHeight="1">
      <c r="A899" s="6"/>
      <c r="B899" s="6"/>
      <c r="C899" s="7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5.75" customHeight="1">
      <c r="A900" s="6"/>
      <c r="B900" s="6"/>
      <c r="C900" s="7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5.75" customHeight="1">
      <c r="A901" s="6"/>
      <c r="B901" s="6"/>
      <c r="C901" s="7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5.75" customHeight="1">
      <c r="A902" s="6"/>
      <c r="B902" s="6"/>
      <c r="C902" s="7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5.75" customHeight="1">
      <c r="A903" s="6"/>
      <c r="B903" s="6"/>
      <c r="C903" s="7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5.75" customHeight="1">
      <c r="A904" s="6"/>
      <c r="B904" s="6"/>
      <c r="C904" s="7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5.75" customHeight="1">
      <c r="A905" s="6"/>
      <c r="B905" s="6"/>
      <c r="C905" s="7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5.75" customHeight="1">
      <c r="A906" s="6"/>
      <c r="B906" s="6"/>
      <c r="C906" s="7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5.75" customHeight="1">
      <c r="A907" s="6"/>
      <c r="B907" s="6"/>
      <c r="C907" s="7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5.75" customHeight="1">
      <c r="A908" s="6"/>
      <c r="B908" s="6"/>
      <c r="C908" s="7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5.75" customHeight="1">
      <c r="A909" s="6"/>
      <c r="B909" s="6"/>
      <c r="C909" s="7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5.75" customHeight="1">
      <c r="A910" s="6"/>
      <c r="B910" s="6"/>
      <c r="C910" s="7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5.75" customHeight="1">
      <c r="A911" s="6"/>
      <c r="B911" s="6"/>
      <c r="C911" s="7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5.75" customHeight="1">
      <c r="A912" s="6"/>
      <c r="B912" s="6"/>
      <c r="C912" s="7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5.75" customHeight="1">
      <c r="A913" s="6"/>
      <c r="B913" s="6"/>
      <c r="C913" s="7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5.75" customHeight="1">
      <c r="A914" s="6"/>
      <c r="B914" s="6"/>
      <c r="C914" s="7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5.75" customHeight="1">
      <c r="A915" s="6"/>
      <c r="B915" s="6"/>
      <c r="C915" s="7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5.75" customHeight="1">
      <c r="A916" s="6"/>
      <c r="B916" s="6"/>
      <c r="C916" s="7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5.75" customHeight="1">
      <c r="A917" s="6"/>
      <c r="B917" s="6"/>
      <c r="C917" s="7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5.75" customHeight="1">
      <c r="A918" s="6"/>
      <c r="B918" s="6"/>
      <c r="C918" s="7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5.75" customHeight="1">
      <c r="A919" s="6"/>
      <c r="B919" s="6"/>
      <c r="C919" s="7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5.75" customHeight="1">
      <c r="A920" s="6"/>
      <c r="B920" s="6"/>
      <c r="C920" s="7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5.75" customHeight="1">
      <c r="A921" s="6"/>
      <c r="B921" s="6"/>
      <c r="C921" s="7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5.75" customHeight="1">
      <c r="A922" s="6"/>
      <c r="B922" s="6"/>
      <c r="C922" s="7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5.75" customHeight="1">
      <c r="A923" s="6"/>
      <c r="B923" s="6"/>
      <c r="C923" s="7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5.75" customHeight="1">
      <c r="A924" s="6"/>
      <c r="B924" s="6"/>
      <c r="C924" s="7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5.75" customHeight="1">
      <c r="A925" s="6"/>
      <c r="B925" s="6"/>
      <c r="C925" s="7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5.75" customHeight="1">
      <c r="A926" s="6"/>
      <c r="B926" s="6"/>
      <c r="C926" s="7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5.75" customHeight="1">
      <c r="A927" s="6"/>
      <c r="B927" s="6"/>
      <c r="C927" s="7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5.75" customHeight="1">
      <c r="A928" s="6"/>
      <c r="B928" s="6"/>
      <c r="C928" s="7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5.75" customHeight="1">
      <c r="A929" s="6"/>
      <c r="B929" s="6"/>
      <c r="C929" s="7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5.75" customHeight="1">
      <c r="A930" s="6"/>
      <c r="B930" s="6"/>
      <c r="C930" s="7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5.75" customHeight="1">
      <c r="A931" s="6"/>
      <c r="B931" s="6"/>
      <c r="C931" s="7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5.75" customHeight="1">
      <c r="A932" s="6"/>
      <c r="B932" s="6"/>
      <c r="C932" s="7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5.75" customHeight="1">
      <c r="A933" s="6"/>
      <c r="B933" s="6"/>
      <c r="C933" s="7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5.75" customHeight="1">
      <c r="A934" s="6"/>
      <c r="B934" s="6"/>
      <c r="C934" s="7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5.75" customHeight="1">
      <c r="A935" s="6"/>
      <c r="B935" s="6"/>
      <c r="C935" s="7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5.75" customHeight="1">
      <c r="A936" s="6"/>
      <c r="B936" s="6"/>
      <c r="C936" s="7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5.75" customHeight="1">
      <c r="A937" s="6"/>
      <c r="B937" s="6"/>
      <c r="C937" s="7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5.75" customHeight="1">
      <c r="A938" s="6"/>
      <c r="B938" s="6"/>
      <c r="C938" s="7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5.75" customHeight="1">
      <c r="A939" s="6"/>
      <c r="B939" s="6"/>
      <c r="C939" s="7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5.75" customHeight="1">
      <c r="A940" s="6"/>
      <c r="B940" s="6"/>
      <c r="C940" s="7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5.75" customHeight="1">
      <c r="A941" s="6"/>
      <c r="B941" s="6"/>
      <c r="C941" s="7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5.75" customHeight="1">
      <c r="A942" s="6"/>
      <c r="B942" s="6"/>
      <c r="C942" s="7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5.75" customHeight="1">
      <c r="A943" s="6"/>
      <c r="B943" s="6"/>
      <c r="C943" s="7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5.75" customHeight="1">
      <c r="A944" s="6"/>
      <c r="B944" s="6"/>
      <c r="C944" s="7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5.75" customHeight="1">
      <c r="A945" s="6"/>
      <c r="B945" s="6"/>
      <c r="C945" s="7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5.75" customHeight="1">
      <c r="A946" s="6"/>
      <c r="B946" s="6"/>
      <c r="C946" s="7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5.75" customHeight="1">
      <c r="A947" s="6"/>
      <c r="B947" s="6"/>
      <c r="C947" s="7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5.75" customHeight="1">
      <c r="A948" s="6"/>
      <c r="B948" s="6"/>
      <c r="C948" s="7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5.75" customHeight="1">
      <c r="A949" s="6"/>
      <c r="B949" s="6"/>
      <c r="C949" s="7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5.75" customHeight="1">
      <c r="A950" s="6"/>
      <c r="B950" s="6"/>
      <c r="C950" s="7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5.75" customHeight="1">
      <c r="A951" s="6"/>
      <c r="B951" s="6"/>
      <c r="C951" s="7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5.75" customHeight="1">
      <c r="A952" s="6"/>
      <c r="B952" s="6"/>
      <c r="C952" s="7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5.75" customHeight="1">
      <c r="A953" s="6"/>
      <c r="B953" s="6"/>
      <c r="C953" s="7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5.75" customHeight="1">
      <c r="A954" s="6"/>
      <c r="B954" s="6"/>
      <c r="C954" s="7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5.75" customHeight="1">
      <c r="A955" s="6"/>
      <c r="B955" s="6"/>
      <c r="C955" s="7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5.75" customHeight="1">
      <c r="A956" s="6"/>
      <c r="B956" s="6"/>
      <c r="C956" s="7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5.75" customHeight="1">
      <c r="A957" s="6"/>
      <c r="B957" s="6"/>
      <c r="C957" s="7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5.75" customHeight="1">
      <c r="A958" s="6"/>
      <c r="B958" s="6"/>
      <c r="C958" s="7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5.75" customHeight="1">
      <c r="A959" s="6"/>
      <c r="B959" s="6"/>
      <c r="C959" s="7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5.75" customHeight="1">
      <c r="A960" s="6"/>
      <c r="B960" s="6"/>
      <c r="C960" s="7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5.75" customHeight="1">
      <c r="A961" s="6"/>
      <c r="B961" s="6"/>
      <c r="C961" s="7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5.75" customHeight="1">
      <c r="A962" s="6"/>
      <c r="B962" s="6"/>
      <c r="C962" s="7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5.75" customHeight="1">
      <c r="A963" s="6"/>
      <c r="B963" s="6"/>
      <c r="C963" s="7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5.75" customHeight="1">
      <c r="A964" s="6"/>
      <c r="B964" s="6"/>
      <c r="C964" s="7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5.75" customHeight="1">
      <c r="A965" s="6"/>
      <c r="B965" s="6"/>
      <c r="C965" s="7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5.75" customHeight="1">
      <c r="A966" s="6"/>
      <c r="B966" s="6"/>
      <c r="C966" s="7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5.75" customHeight="1">
      <c r="A967" s="6"/>
      <c r="B967" s="6"/>
      <c r="C967" s="7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5.75" customHeight="1">
      <c r="A968" s="6"/>
      <c r="B968" s="6"/>
      <c r="C968" s="7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5.75" customHeight="1">
      <c r="A969" s="6"/>
      <c r="B969" s="6"/>
      <c r="C969" s="7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5.75" customHeight="1">
      <c r="A970" s="6"/>
      <c r="B970" s="6"/>
      <c r="C970" s="7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5.75" customHeight="1">
      <c r="A971" s="6"/>
      <c r="B971" s="6"/>
      <c r="C971" s="7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5.75" customHeight="1">
      <c r="A972" s="6"/>
      <c r="B972" s="6"/>
      <c r="C972" s="7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5.75" customHeight="1">
      <c r="A973" s="6"/>
      <c r="B973" s="6"/>
      <c r="C973" s="7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5.75" customHeight="1">
      <c r="A974" s="6"/>
      <c r="B974" s="6"/>
      <c r="C974" s="7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5.75" customHeight="1">
      <c r="A975" s="6"/>
      <c r="B975" s="6"/>
      <c r="C975" s="7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5.75" customHeight="1">
      <c r="A976" s="6"/>
      <c r="B976" s="6"/>
      <c r="C976" s="7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5.75" customHeight="1">
      <c r="A977" s="6"/>
      <c r="B977" s="6"/>
      <c r="C977" s="7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5.75" customHeight="1">
      <c r="A978" s="6"/>
      <c r="B978" s="6"/>
      <c r="C978" s="7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5.75" customHeight="1">
      <c r="A979" s="6"/>
      <c r="B979" s="6"/>
      <c r="C979" s="7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5.75" customHeight="1">
      <c r="A980" s="6"/>
      <c r="B980" s="6"/>
      <c r="C980" s="7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5.75" customHeight="1">
      <c r="A981" s="6"/>
      <c r="B981" s="6"/>
      <c r="C981" s="7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5.75" customHeight="1">
      <c r="A982" s="6"/>
      <c r="B982" s="6"/>
      <c r="C982" s="7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5.75" customHeight="1">
      <c r="A983" s="6"/>
      <c r="B983" s="6"/>
      <c r="C983" s="7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5.75" customHeight="1">
      <c r="A984" s="6"/>
      <c r="B984" s="6"/>
      <c r="C984" s="7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5.75" customHeight="1">
      <c r="A985" s="6"/>
      <c r="B985" s="6"/>
      <c r="C985" s="7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5.75" customHeight="1">
      <c r="A986" s="6"/>
      <c r="B986" s="6"/>
      <c r="C986" s="7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5.75" customHeight="1">
      <c r="A987" s="6"/>
      <c r="B987" s="6"/>
      <c r="C987" s="7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5.75" customHeight="1">
      <c r="A988" s="6"/>
      <c r="B988" s="6"/>
      <c r="C988" s="7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5.75" customHeight="1">
      <c r="A989" s="6"/>
      <c r="B989" s="6"/>
      <c r="C989" s="7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5.75" customHeight="1">
      <c r="A990" s="6"/>
      <c r="B990" s="6"/>
      <c r="C990" s="7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5.75" customHeight="1">
      <c r="A991" s="6"/>
      <c r="B991" s="6"/>
      <c r="C991" s="7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5.75" customHeight="1">
      <c r="A992" s="6"/>
      <c r="B992" s="6"/>
      <c r="C992" s="7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5.75" customHeight="1">
      <c r="A993" s="6"/>
      <c r="B993" s="6"/>
      <c r="C993" s="7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5.75" customHeight="1">
      <c r="A994" s="6"/>
      <c r="B994" s="6"/>
      <c r="C994" s="7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5.75" customHeight="1">
      <c r="A995" s="6"/>
      <c r="B995" s="6"/>
      <c r="C995" s="7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5.75" customHeight="1">
      <c r="A996" s="6"/>
      <c r="B996" s="6"/>
      <c r="C996" s="7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5.75" customHeight="1">
      <c r="A997" s="6"/>
      <c r="B997" s="6"/>
      <c r="C997" s="7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5.75" customHeight="1">
      <c r="A998" s="6"/>
      <c r="B998" s="6"/>
      <c r="C998" s="7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5.75" customHeight="1">
      <c r="A999" s="6"/>
      <c r="B999" s="6"/>
      <c r="C999" s="7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5.75" customHeight="1">
      <c r="A1000" s="6"/>
      <c r="B1000" s="6"/>
      <c r="C1000" s="7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693">
    <mergeCell ref="B190:B191"/>
    <mergeCell ref="C190:C191"/>
    <mergeCell ref="E190:E191"/>
    <mergeCell ref="F190:F191"/>
    <mergeCell ref="G190:G191"/>
    <mergeCell ref="H190:H191"/>
    <mergeCell ref="W190:W191"/>
    <mergeCell ref="B192:B193"/>
    <mergeCell ref="C192:C193"/>
    <mergeCell ref="E192:E193"/>
    <mergeCell ref="F192:F193"/>
    <mergeCell ref="G192:G193"/>
    <mergeCell ref="H192:H193"/>
    <mergeCell ref="W192:W193"/>
    <mergeCell ref="B186:B187"/>
    <mergeCell ref="C186:C187"/>
    <mergeCell ref="E186:E187"/>
    <mergeCell ref="F186:F187"/>
    <mergeCell ref="G186:G187"/>
    <mergeCell ref="H186:H187"/>
    <mergeCell ref="W186:W187"/>
    <mergeCell ref="B188:B189"/>
    <mergeCell ref="C188:C189"/>
    <mergeCell ref="E188:E189"/>
    <mergeCell ref="F188:F189"/>
    <mergeCell ref="G188:G189"/>
    <mergeCell ref="H188:H189"/>
    <mergeCell ref="W188:W189"/>
    <mergeCell ref="B182:B183"/>
    <mergeCell ref="C182:C183"/>
    <mergeCell ref="E182:E183"/>
    <mergeCell ref="F182:F183"/>
    <mergeCell ref="G182:G183"/>
    <mergeCell ref="H182:H183"/>
    <mergeCell ref="W182:W183"/>
    <mergeCell ref="B184:B185"/>
    <mergeCell ref="C184:C185"/>
    <mergeCell ref="E184:E185"/>
    <mergeCell ref="F184:F185"/>
    <mergeCell ref="G184:G185"/>
    <mergeCell ref="H184:H185"/>
    <mergeCell ref="W184:W185"/>
    <mergeCell ref="B178:B179"/>
    <mergeCell ref="C178:C179"/>
    <mergeCell ref="E178:E179"/>
    <mergeCell ref="F178:F179"/>
    <mergeCell ref="G178:G179"/>
    <mergeCell ref="H178:H179"/>
    <mergeCell ref="W178:W179"/>
    <mergeCell ref="B180:B181"/>
    <mergeCell ref="C180:C181"/>
    <mergeCell ref="E180:E181"/>
    <mergeCell ref="F180:F181"/>
    <mergeCell ref="G180:G181"/>
    <mergeCell ref="H180:H181"/>
    <mergeCell ref="W180:W181"/>
    <mergeCell ref="B174:B175"/>
    <mergeCell ref="C174:C175"/>
    <mergeCell ref="E174:E175"/>
    <mergeCell ref="F174:F175"/>
    <mergeCell ref="G174:G175"/>
    <mergeCell ref="H174:H175"/>
    <mergeCell ref="W174:W175"/>
    <mergeCell ref="B176:B177"/>
    <mergeCell ref="C176:C177"/>
    <mergeCell ref="E176:E177"/>
    <mergeCell ref="F176:F177"/>
    <mergeCell ref="G176:G177"/>
    <mergeCell ref="H176:H177"/>
    <mergeCell ref="W176:W177"/>
    <mergeCell ref="F170:F171"/>
    <mergeCell ref="G170:G171"/>
    <mergeCell ref="H170:H171"/>
    <mergeCell ref="W170:W171"/>
    <mergeCell ref="B172:B173"/>
    <mergeCell ref="C172:C173"/>
    <mergeCell ref="E172:E173"/>
    <mergeCell ref="F172:F173"/>
    <mergeCell ref="G172:G173"/>
    <mergeCell ref="H172:H173"/>
    <mergeCell ref="W172:W173"/>
    <mergeCell ref="B210:B211"/>
    <mergeCell ref="C210:C211"/>
    <mergeCell ref="E210:E211"/>
    <mergeCell ref="F210:F211"/>
    <mergeCell ref="G210:G211"/>
    <mergeCell ref="H210:H211"/>
    <mergeCell ref="W210:W211"/>
    <mergeCell ref="B166:B167"/>
    <mergeCell ref="C166:C167"/>
    <mergeCell ref="E166:E167"/>
    <mergeCell ref="F166:F167"/>
    <mergeCell ref="G166:G167"/>
    <mergeCell ref="H166:H167"/>
    <mergeCell ref="W166:W167"/>
    <mergeCell ref="B168:B169"/>
    <mergeCell ref="C168:C169"/>
    <mergeCell ref="E168:E169"/>
    <mergeCell ref="F168:F169"/>
    <mergeCell ref="G168:G169"/>
    <mergeCell ref="H168:H169"/>
    <mergeCell ref="W168:W169"/>
    <mergeCell ref="B170:B171"/>
    <mergeCell ref="C170:C171"/>
    <mergeCell ref="E170:E171"/>
    <mergeCell ref="B22:B23"/>
    <mergeCell ref="C22:C23"/>
    <mergeCell ref="E22:E23"/>
    <mergeCell ref="F22:F23"/>
    <mergeCell ref="G22:G23"/>
    <mergeCell ref="H22:H23"/>
    <mergeCell ref="W22:W23"/>
    <mergeCell ref="B24:B25"/>
    <mergeCell ref="C24:C25"/>
    <mergeCell ref="E24:E25"/>
    <mergeCell ref="F24:F25"/>
    <mergeCell ref="G24:G25"/>
    <mergeCell ref="H24:H25"/>
    <mergeCell ref="W24:W25"/>
    <mergeCell ref="B18:B19"/>
    <mergeCell ref="C18:C19"/>
    <mergeCell ref="E18:E19"/>
    <mergeCell ref="F18:F19"/>
    <mergeCell ref="G18:G19"/>
    <mergeCell ref="H18:H19"/>
    <mergeCell ref="W18:W19"/>
    <mergeCell ref="B20:B21"/>
    <mergeCell ref="C20:C21"/>
    <mergeCell ref="E20:E21"/>
    <mergeCell ref="F20:F21"/>
    <mergeCell ref="G20:G21"/>
    <mergeCell ref="H20:H21"/>
    <mergeCell ref="W20:W21"/>
    <mergeCell ref="B14:B15"/>
    <mergeCell ref="C14:C15"/>
    <mergeCell ref="E14:E15"/>
    <mergeCell ref="F14:F15"/>
    <mergeCell ref="G14:G15"/>
    <mergeCell ref="H14:H15"/>
    <mergeCell ref="W14:W15"/>
    <mergeCell ref="B16:B17"/>
    <mergeCell ref="C16:C17"/>
    <mergeCell ref="E16:E17"/>
    <mergeCell ref="F16:F17"/>
    <mergeCell ref="G16:G17"/>
    <mergeCell ref="H16:H17"/>
    <mergeCell ref="W16:W17"/>
    <mergeCell ref="B206:B207"/>
    <mergeCell ref="C206:C207"/>
    <mergeCell ref="E206:E207"/>
    <mergeCell ref="F206:F207"/>
    <mergeCell ref="G206:G207"/>
    <mergeCell ref="H206:H207"/>
    <mergeCell ref="W206:W207"/>
    <mergeCell ref="B208:B209"/>
    <mergeCell ref="C208:C209"/>
    <mergeCell ref="E208:E209"/>
    <mergeCell ref="F208:F209"/>
    <mergeCell ref="G208:G209"/>
    <mergeCell ref="H208:H209"/>
    <mergeCell ref="W208:W209"/>
    <mergeCell ref="B202:B203"/>
    <mergeCell ref="C202:C203"/>
    <mergeCell ref="E202:E203"/>
    <mergeCell ref="F202:F203"/>
    <mergeCell ref="G202:G203"/>
    <mergeCell ref="H202:H203"/>
    <mergeCell ref="W202:W203"/>
    <mergeCell ref="B204:B205"/>
    <mergeCell ref="C204:C205"/>
    <mergeCell ref="E204:E205"/>
    <mergeCell ref="F204:F205"/>
    <mergeCell ref="G204:G205"/>
    <mergeCell ref="H204:H205"/>
    <mergeCell ref="W204:W205"/>
    <mergeCell ref="B198:B199"/>
    <mergeCell ref="C198:C199"/>
    <mergeCell ref="E198:E199"/>
    <mergeCell ref="F198:F199"/>
    <mergeCell ref="G198:G199"/>
    <mergeCell ref="H198:H199"/>
    <mergeCell ref="W198:W199"/>
    <mergeCell ref="B200:B201"/>
    <mergeCell ref="C200:C201"/>
    <mergeCell ref="E200:E201"/>
    <mergeCell ref="F200:F201"/>
    <mergeCell ref="G200:G201"/>
    <mergeCell ref="H200:H201"/>
    <mergeCell ref="W200:W201"/>
    <mergeCell ref="B194:B195"/>
    <mergeCell ref="C194:C195"/>
    <mergeCell ref="E194:E195"/>
    <mergeCell ref="F194:F195"/>
    <mergeCell ref="G194:G195"/>
    <mergeCell ref="H194:H195"/>
    <mergeCell ref="W194:W195"/>
    <mergeCell ref="B196:B197"/>
    <mergeCell ref="C196:C197"/>
    <mergeCell ref="E196:E197"/>
    <mergeCell ref="F196:F197"/>
    <mergeCell ref="G196:G197"/>
    <mergeCell ref="H196:H197"/>
    <mergeCell ref="W196:W197"/>
    <mergeCell ref="B162:B163"/>
    <mergeCell ref="C162:C163"/>
    <mergeCell ref="E162:E163"/>
    <mergeCell ref="F162:F163"/>
    <mergeCell ref="G162:G163"/>
    <mergeCell ref="H162:H163"/>
    <mergeCell ref="W162:W163"/>
    <mergeCell ref="B164:B165"/>
    <mergeCell ref="C164:C165"/>
    <mergeCell ref="E164:E165"/>
    <mergeCell ref="F164:F165"/>
    <mergeCell ref="G164:G165"/>
    <mergeCell ref="H164:H165"/>
    <mergeCell ref="W164:W165"/>
    <mergeCell ref="B158:B159"/>
    <mergeCell ref="C158:C159"/>
    <mergeCell ref="E158:E159"/>
    <mergeCell ref="F158:F159"/>
    <mergeCell ref="G158:G159"/>
    <mergeCell ref="H158:H159"/>
    <mergeCell ref="W158:W159"/>
    <mergeCell ref="B160:B161"/>
    <mergeCell ref="C160:C161"/>
    <mergeCell ref="E160:E161"/>
    <mergeCell ref="F160:F161"/>
    <mergeCell ref="G160:G161"/>
    <mergeCell ref="H160:H161"/>
    <mergeCell ref="W160:W161"/>
    <mergeCell ref="B154:B155"/>
    <mergeCell ref="C154:C155"/>
    <mergeCell ref="E154:E155"/>
    <mergeCell ref="F154:F155"/>
    <mergeCell ref="G154:G155"/>
    <mergeCell ref="H154:H155"/>
    <mergeCell ref="W154:W155"/>
    <mergeCell ref="B156:B157"/>
    <mergeCell ref="C156:C157"/>
    <mergeCell ref="E156:E157"/>
    <mergeCell ref="F156:F157"/>
    <mergeCell ref="G156:G157"/>
    <mergeCell ref="H156:H157"/>
    <mergeCell ref="W156:W157"/>
    <mergeCell ref="B150:B151"/>
    <mergeCell ref="C150:C151"/>
    <mergeCell ref="E150:E151"/>
    <mergeCell ref="F150:F151"/>
    <mergeCell ref="G150:G151"/>
    <mergeCell ref="H150:H151"/>
    <mergeCell ref="W150:W151"/>
    <mergeCell ref="B152:B153"/>
    <mergeCell ref="C152:C153"/>
    <mergeCell ref="E152:E153"/>
    <mergeCell ref="F152:F153"/>
    <mergeCell ref="G152:G153"/>
    <mergeCell ref="H152:H153"/>
    <mergeCell ref="W152:W153"/>
    <mergeCell ref="B146:B147"/>
    <mergeCell ref="C146:C147"/>
    <mergeCell ref="E146:E147"/>
    <mergeCell ref="F146:F147"/>
    <mergeCell ref="G146:G147"/>
    <mergeCell ref="H146:H147"/>
    <mergeCell ref="W146:W147"/>
    <mergeCell ref="B148:B149"/>
    <mergeCell ref="C148:C149"/>
    <mergeCell ref="E148:E149"/>
    <mergeCell ref="F148:F149"/>
    <mergeCell ref="G148:G149"/>
    <mergeCell ref="H148:H149"/>
    <mergeCell ref="W148:W149"/>
    <mergeCell ref="B142:B143"/>
    <mergeCell ref="C142:C143"/>
    <mergeCell ref="E142:E143"/>
    <mergeCell ref="F142:F143"/>
    <mergeCell ref="G142:G143"/>
    <mergeCell ref="H142:H143"/>
    <mergeCell ref="W142:W143"/>
    <mergeCell ref="B144:B145"/>
    <mergeCell ref="C144:C145"/>
    <mergeCell ref="E144:E145"/>
    <mergeCell ref="F144:F145"/>
    <mergeCell ref="G144:G145"/>
    <mergeCell ref="H144:H145"/>
    <mergeCell ref="W144:W145"/>
    <mergeCell ref="B138:B139"/>
    <mergeCell ref="C138:C139"/>
    <mergeCell ref="E138:E139"/>
    <mergeCell ref="F138:F139"/>
    <mergeCell ref="G138:G139"/>
    <mergeCell ref="H138:H139"/>
    <mergeCell ref="W138:W139"/>
    <mergeCell ref="B140:B141"/>
    <mergeCell ref="C140:C141"/>
    <mergeCell ref="E140:E141"/>
    <mergeCell ref="F140:F141"/>
    <mergeCell ref="G140:G141"/>
    <mergeCell ref="H140:H141"/>
    <mergeCell ref="W140:W141"/>
    <mergeCell ref="B134:B135"/>
    <mergeCell ref="C134:C135"/>
    <mergeCell ref="E134:E135"/>
    <mergeCell ref="F134:F135"/>
    <mergeCell ref="G134:G135"/>
    <mergeCell ref="H134:H135"/>
    <mergeCell ref="W134:W135"/>
    <mergeCell ref="B136:B137"/>
    <mergeCell ref="C136:C137"/>
    <mergeCell ref="E136:E137"/>
    <mergeCell ref="F136:F137"/>
    <mergeCell ref="G136:G137"/>
    <mergeCell ref="H136:H137"/>
    <mergeCell ref="W136:W137"/>
    <mergeCell ref="B130:B131"/>
    <mergeCell ref="C130:C131"/>
    <mergeCell ref="E130:E131"/>
    <mergeCell ref="F130:F131"/>
    <mergeCell ref="G130:G131"/>
    <mergeCell ref="H130:H131"/>
    <mergeCell ref="W130:W131"/>
    <mergeCell ref="B132:B133"/>
    <mergeCell ref="C132:C133"/>
    <mergeCell ref="E132:E133"/>
    <mergeCell ref="F132:F133"/>
    <mergeCell ref="G132:G133"/>
    <mergeCell ref="H132:H133"/>
    <mergeCell ref="W132:W133"/>
    <mergeCell ref="B126:B127"/>
    <mergeCell ref="C126:C127"/>
    <mergeCell ref="E126:E127"/>
    <mergeCell ref="F126:F127"/>
    <mergeCell ref="G126:G127"/>
    <mergeCell ref="H126:H127"/>
    <mergeCell ref="W126:W127"/>
    <mergeCell ref="B128:B129"/>
    <mergeCell ref="C128:C129"/>
    <mergeCell ref="E128:E129"/>
    <mergeCell ref="F128:F129"/>
    <mergeCell ref="G128:G129"/>
    <mergeCell ref="H128:H129"/>
    <mergeCell ref="W128:W129"/>
    <mergeCell ref="B122:B123"/>
    <mergeCell ref="C122:C123"/>
    <mergeCell ref="E122:E123"/>
    <mergeCell ref="F122:F123"/>
    <mergeCell ref="G122:G123"/>
    <mergeCell ref="H122:H123"/>
    <mergeCell ref="W122:W123"/>
    <mergeCell ref="B124:B125"/>
    <mergeCell ref="C124:C125"/>
    <mergeCell ref="E124:E125"/>
    <mergeCell ref="F124:F125"/>
    <mergeCell ref="G124:G125"/>
    <mergeCell ref="H124:H125"/>
    <mergeCell ref="W124:W125"/>
    <mergeCell ref="B118:B119"/>
    <mergeCell ref="C118:C119"/>
    <mergeCell ref="E118:E119"/>
    <mergeCell ref="F118:F119"/>
    <mergeCell ref="G118:G119"/>
    <mergeCell ref="H118:H119"/>
    <mergeCell ref="W118:W119"/>
    <mergeCell ref="B120:B121"/>
    <mergeCell ref="C120:C121"/>
    <mergeCell ref="E120:E121"/>
    <mergeCell ref="F120:F121"/>
    <mergeCell ref="G120:G121"/>
    <mergeCell ref="H120:H121"/>
    <mergeCell ref="W120:W121"/>
    <mergeCell ref="B114:B115"/>
    <mergeCell ref="C114:C115"/>
    <mergeCell ref="E114:E115"/>
    <mergeCell ref="F114:F115"/>
    <mergeCell ref="G114:G115"/>
    <mergeCell ref="H114:H115"/>
    <mergeCell ref="W114:W115"/>
    <mergeCell ref="B116:B117"/>
    <mergeCell ref="C116:C117"/>
    <mergeCell ref="E116:E117"/>
    <mergeCell ref="F116:F117"/>
    <mergeCell ref="G116:G117"/>
    <mergeCell ref="H116:H117"/>
    <mergeCell ref="W116:W117"/>
    <mergeCell ref="B110:B111"/>
    <mergeCell ref="C110:C111"/>
    <mergeCell ref="E110:E111"/>
    <mergeCell ref="F110:F111"/>
    <mergeCell ref="G110:G111"/>
    <mergeCell ref="H110:H111"/>
    <mergeCell ref="W110:W111"/>
    <mergeCell ref="B112:B113"/>
    <mergeCell ref="C112:C113"/>
    <mergeCell ref="E112:E113"/>
    <mergeCell ref="F112:F113"/>
    <mergeCell ref="G112:G113"/>
    <mergeCell ref="H112:H113"/>
    <mergeCell ref="W112:W113"/>
    <mergeCell ref="B106:B107"/>
    <mergeCell ref="C106:C107"/>
    <mergeCell ref="E106:E107"/>
    <mergeCell ref="F106:F107"/>
    <mergeCell ref="G106:G107"/>
    <mergeCell ref="H106:H107"/>
    <mergeCell ref="W106:W107"/>
    <mergeCell ref="B108:B109"/>
    <mergeCell ref="C108:C109"/>
    <mergeCell ref="E108:E109"/>
    <mergeCell ref="F108:F109"/>
    <mergeCell ref="G108:G109"/>
    <mergeCell ref="H108:H109"/>
    <mergeCell ref="W108:W109"/>
    <mergeCell ref="B102:B103"/>
    <mergeCell ref="C102:C103"/>
    <mergeCell ref="E102:E103"/>
    <mergeCell ref="F102:F103"/>
    <mergeCell ref="G102:G103"/>
    <mergeCell ref="H102:H103"/>
    <mergeCell ref="W102:W103"/>
    <mergeCell ref="B104:B105"/>
    <mergeCell ref="C104:C105"/>
    <mergeCell ref="E104:E105"/>
    <mergeCell ref="F104:F105"/>
    <mergeCell ref="G104:G105"/>
    <mergeCell ref="H104:H105"/>
    <mergeCell ref="W104:W105"/>
    <mergeCell ref="B98:B99"/>
    <mergeCell ref="C98:C99"/>
    <mergeCell ref="E98:E99"/>
    <mergeCell ref="F98:F99"/>
    <mergeCell ref="G98:G99"/>
    <mergeCell ref="H98:H99"/>
    <mergeCell ref="W98:W99"/>
    <mergeCell ref="B100:B101"/>
    <mergeCell ref="C100:C101"/>
    <mergeCell ref="E100:E101"/>
    <mergeCell ref="F100:F101"/>
    <mergeCell ref="G100:G101"/>
    <mergeCell ref="H100:H101"/>
    <mergeCell ref="W100:W101"/>
    <mergeCell ref="B94:B95"/>
    <mergeCell ref="C94:C95"/>
    <mergeCell ref="E94:E95"/>
    <mergeCell ref="F94:F95"/>
    <mergeCell ref="G94:G95"/>
    <mergeCell ref="H94:H95"/>
    <mergeCell ref="W94:W95"/>
    <mergeCell ref="B96:B97"/>
    <mergeCell ref="C96:C97"/>
    <mergeCell ref="E96:E97"/>
    <mergeCell ref="F96:F97"/>
    <mergeCell ref="G96:G97"/>
    <mergeCell ref="H96:H97"/>
    <mergeCell ref="W96:W97"/>
    <mergeCell ref="B90:B91"/>
    <mergeCell ref="C90:C91"/>
    <mergeCell ref="E90:E91"/>
    <mergeCell ref="F90:F91"/>
    <mergeCell ref="G90:G91"/>
    <mergeCell ref="H90:H91"/>
    <mergeCell ref="W90:W91"/>
    <mergeCell ref="B92:B93"/>
    <mergeCell ref="C92:C93"/>
    <mergeCell ref="E92:E93"/>
    <mergeCell ref="F92:F93"/>
    <mergeCell ref="G92:G93"/>
    <mergeCell ref="H92:H93"/>
    <mergeCell ref="W92:W93"/>
    <mergeCell ref="B86:B87"/>
    <mergeCell ref="C86:C87"/>
    <mergeCell ref="E86:E87"/>
    <mergeCell ref="F86:F87"/>
    <mergeCell ref="G86:G87"/>
    <mergeCell ref="H86:H87"/>
    <mergeCell ref="W86:W87"/>
    <mergeCell ref="B88:B89"/>
    <mergeCell ref="C88:C89"/>
    <mergeCell ref="E88:E89"/>
    <mergeCell ref="F88:F89"/>
    <mergeCell ref="G88:G89"/>
    <mergeCell ref="H88:H89"/>
    <mergeCell ref="W88:W89"/>
    <mergeCell ref="B82:B83"/>
    <mergeCell ref="C82:C83"/>
    <mergeCell ref="E82:E83"/>
    <mergeCell ref="F82:F83"/>
    <mergeCell ref="G82:G83"/>
    <mergeCell ref="H82:H83"/>
    <mergeCell ref="W82:W83"/>
    <mergeCell ref="B84:B85"/>
    <mergeCell ref="C84:C85"/>
    <mergeCell ref="E84:E85"/>
    <mergeCell ref="F84:F85"/>
    <mergeCell ref="G84:G85"/>
    <mergeCell ref="H84:H85"/>
    <mergeCell ref="W84:W85"/>
    <mergeCell ref="B78:B79"/>
    <mergeCell ref="C78:C79"/>
    <mergeCell ref="E78:E79"/>
    <mergeCell ref="F78:F79"/>
    <mergeCell ref="G78:G79"/>
    <mergeCell ref="H78:H79"/>
    <mergeCell ref="W78:W79"/>
    <mergeCell ref="B80:B81"/>
    <mergeCell ref="C80:C81"/>
    <mergeCell ref="E80:E81"/>
    <mergeCell ref="F80:F81"/>
    <mergeCell ref="G80:G81"/>
    <mergeCell ref="H80:H81"/>
    <mergeCell ref="W80:W81"/>
    <mergeCell ref="B74:B75"/>
    <mergeCell ref="C74:C75"/>
    <mergeCell ref="E74:E75"/>
    <mergeCell ref="F74:F75"/>
    <mergeCell ref="G74:G75"/>
    <mergeCell ref="H74:H75"/>
    <mergeCell ref="W74:W75"/>
    <mergeCell ref="B76:B77"/>
    <mergeCell ref="C76:C77"/>
    <mergeCell ref="E76:E77"/>
    <mergeCell ref="F76:F77"/>
    <mergeCell ref="G76:G77"/>
    <mergeCell ref="H76:H77"/>
    <mergeCell ref="W76:W77"/>
    <mergeCell ref="B70:B71"/>
    <mergeCell ref="C70:C71"/>
    <mergeCell ref="E70:E71"/>
    <mergeCell ref="F70:F71"/>
    <mergeCell ref="G70:G71"/>
    <mergeCell ref="H70:H71"/>
    <mergeCell ref="W70:W71"/>
    <mergeCell ref="B72:B73"/>
    <mergeCell ref="C72:C73"/>
    <mergeCell ref="E72:E73"/>
    <mergeCell ref="F72:F73"/>
    <mergeCell ref="G72:G73"/>
    <mergeCell ref="H72:H73"/>
    <mergeCell ref="W72:W73"/>
    <mergeCell ref="B66:B67"/>
    <mergeCell ref="C66:C67"/>
    <mergeCell ref="E66:E67"/>
    <mergeCell ref="F66:F67"/>
    <mergeCell ref="G66:G67"/>
    <mergeCell ref="H66:H67"/>
    <mergeCell ref="W66:W67"/>
    <mergeCell ref="B68:B69"/>
    <mergeCell ref="C68:C69"/>
    <mergeCell ref="E68:E69"/>
    <mergeCell ref="F68:F69"/>
    <mergeCell ref="G68:G69"/>
    <mergeCell ref="H68:H69"/>
    <mergeCell ref="W68:W69"/>
    <mergeCell ref="B62:B63"/>
    <mergeCell ref="C62:C63"/>
    <mergeCell ref="E62:E63"/>
    <mergeCell ref="F62:F63"/>
    <mergeCell ref="G62:G63"/>
    <mergeCell ref="H62:H63"/>
    <mergeCell ref="W62:W63"/>
    <mergeCell ref="B64:B65"/>
    <mergeCell ref="C64:C65"/>
    <mergeCell ref="E64:E65"/>
    <mergeCell ref="F64:F65"/>
    <mergeCell ref="G64:G65"/>
    <mergeCell ref="H64:H65"/>
    <mergeCell ref="W64:W65"/>
    <mergeCell ref="B58:B59"/>
    <mergeCell ref="C58:C59"/>
    <mergeCell ref="E58:E59"/>
    <mergeCell ref="F58:F59"/>
    <mergeCell ref="G58:G59"/>
    <mergeCell ref="H58:H59"/>
    <mergeCell ref="W58:W59"/>
    <mergeCell ref="B60:B61"/>
    <mergeCell ref="C60:C61"/>
    <mergeCell ref="E60:E61"/>
    <mergeCell ref="F60:F61"/>
    <mergeCell ref="G60:G61"/>
    <mergeCell ref="H60:H61"/>
    <mergeCell ref="W60:W61"/>
    <mergeCell ref="B54:B55"/>
    <mergeCell ref="C54:C55"/>
    <mergeCell ref="E54:E55"/>
    <mergeCell ref="F54:F55"/>
    <mergeCell ref="G54:G55"/>
    <mergeCell ref="H54:H55"/>
    <mergeCell ref="W54:W55"/>
    <mergeCell ref="B56:B57"/>
    <mergeCell ref="C56:C57"/>
    <mergeCell ref="E56:E57"/>
    <mergeCell ref="F56:F57"/>
    <mergeCell ref="G56:G57"/>
    <mergeCell ref="H56:H57"/>
    <mergeCell ref="W56:W57"/>
    <mergeCell ref="B50:B51"/>
    <mergeCell ref="C50:C51"/>
    <mergeCell ref="E50:E51"/>
    <mergeCell ref="F50:F51"/>
    <mergeCell ref="G50:G51"/>
    <mergeCell ref="H50:H51"/>
    <mergeCell ref="W50:W51"/>
    <mergeCell ref="B52:B53"/>
    <mergeCell ref="C52:C53"/>
    <mergeCell ref="E52:E53"/>
    <mergeCell ref="F52:F53"/>
    <mergeCell ref="G52:G53"/>
    <mergeCell ref="H52:H53"/>
    <mergeCell ref="W52:W53"/>
    <mergeCell ref="B46:B47"/>
    <mergeCell ref="C46:C47"/>
    <mergeCell ref="E46:E47"/>
    <mergeCell ref="F46:F47"/>
    <mergeCell ref="G46:G47"/>
    <mergeCell ref="H46:H47"/>
    <mergeCell ref="W46:W47"/>
    <mergeCell ref="B48:B49"/>
    <mergeCell ref="C48:C49"/>
    <mergeCell ref="E48:E49"/>
    <mergeCell ref="F48:F49"/>
    <mergeCell ref="G48:G49"/>
    <mergeCell ref="H48:H49"/>
    <mergeCell ref="W48:W49"/>
    <mergeCell ref="B42:B43"/>
    <mergeCell ref="C42:C43"/>
    <mergeCell ref="E42:E43"/>
    <mergeCell ref="F42:F43"/>
    <mergeCell ref="G42:G43"/>
    <mergeCell ref="H42:H43"/>
    <mergeCell ref="W42:W43"/>
    <mergeCell ref="B44:B45"/>
    <mergeCell ref="C44:C45"/>
    <mergeCell ref="E44:E45"/>
    <mergeCell ref="F44:F45"/>
    <mergeCell ref="G44:G45"/>
    <mergeCell ref="H44:H45"/>
    <mergeCell ref="W44:W45"/>
    <mergeCell ref="B38:B39"/>
    <mergeCell ref="C38:C39"/>
    <mergeCell ref="E38:E39"/>
    <mergeCell ref="F38:F39"/>
    <mergeCell ref="G38:G39"/>
    <mergeCell ref="H38:H39"/>
    <mergeCell ref="W38:W39"/>
    <mergeCell ref="B40:B41"/>
    <mergeCell ref="C40:C41"/>
    <mergeCell ref="E40:E41"/>
    <mergeCell ref="F40:F41"/>
    <mergeCell ref="G40:G41"/>
    <mergeCell ref="H40:H41"/>
    <mergeCell ref="W40:W41"/>
    <mergeCell ref="B34:B35"/>
    <mergeCell ref="C34:C35"/>
    <mergeCell ref="E34:E35"/>
    <mergeCell ref="F34:F35"/>
    <mergeCell ref="G34:G35"/>
    <mergeCell ref="H34:H35"/>
    <mergeCell ref="W34:W35"/>
    <mergeCell ref="B36:B37"/>
    <mergeCell ref="C36:C37"/>
    <mergeCell ref="E36:E37"/>
    <mergeCell ref="F36:F37"/>
    <mergeCell ref="G36:G37"/>
    <mergeCell ref="H36:H37"/>
    <mergeCell ref="W36:W37"/>
    <mergeCell ref="B30:B31"/>
    <mergeCell ref="C30:C31"/>
    <mergeCell ref="E30:E31"/>
    <mergeCell ref="F30:F31"/>
    <mergeCell ref="G30:G31"/>
    <mergeCell ref="H30:H31"/>
    <mergeCell ref="W30:W31"/>
    <mergeCell ref="B32:B33"/>
    <mergeCell ref="C32:C33"/>
    <mergeCell ref="E32:E33"/>
    <mergeCell ref="F32:F33"/>
    <mergeCell ref="G32:G33"/>
    <mergeCell ref="H32:H33"/>
    <mergeCell ref="W32:W33"/>
    <mergeCell ref="B26:B27"/>
    <mergeCell ref="C26:C27"/>
    <mergeCell ref="E26:E27"/>
    <mergeCell ref="F26:F27"/>
    <mergeCell ref="G26:G27"/>
    <mergeCell ref="H26:H27"/>
    <mergeCell ref="W26:W27"/>
    <mergeCell ref="B28:B29"/>
    <mergeCell ref="C28:C29"/>
    <mergeCell ref="E28:E29"/>
    <mergeCell ref="F28:F29"/>
    <mergeCell ref="G28:G29"/>
    <mergeCell ref="H28:H29"/>
    <mergeCell ref="W28:W29"/>
  </mergeCells>
  <conditionalFormatting sqref="J15:V15">
    <cfRule type="cellIs" dxfId="1" priority="1" operator="between">
      <formula>1</formula>
      <formula>3</formula>
    </cfRule>
  </conditionalFormatting>
  <conditionalFormatting sqref="J17:V17 J19:V19 J21:V21 J23:V23 J25:V25 J27:V27 J29:V29 J31:V31 J33:V33 J35:V35 J37:V37 J39:V39 J41:V41 J43:V43 J45:V45 J47:V47 J49:V49 J51:V51 J53:V53 J55:V55 J57:V57 J59:V59 J61:V61 J63:V63 J65:V65 J67:V67 J69:V69 J71:V71 J73:V73 J75:V75 J77:V77 J79:V79 J81:V81 J83:V83 J85:V85 J87:V87 J89:V89 J91:V91 J93:V93 J95:V95 J97:V97 J99:V99 J101:V101 J103:V103 J105:V105 J107:V107 J109:V109 J111:V111 J113:V113 J115:V115 J117:V117 J119:V119 J121:V121 J123:V123 J125:V125 J127:V127 J129:V129 J131:V131 J133:V133 J135:V135 J137:V137 J139:V139 J141:V141 J143:V143 J145:V145 J147:V147 J149:V149 J151:V151 J153:V153 J155:V155 J157:V157 J159:V159 J161:V161 J163:V163 J165:V165 J167:V167 J169:V169 J171:V171 J173:V173 J175:V175 J177:V177 J179:V179 J181:V181 J183:V183 J185:V185 J187:V187 J189:V189 J191:V191 J193:V193 J195:V195 J197:V197 J199:V199 J201:V201 J203:V203 J205:V205 J207:V207 J209:V209 J211:V211">
    <cfRule type="cellIs" dxfId="0" priority="2" operator="between">
      <formula>1</formula>
      <formula>3</formula>
    </cfRule>
  </conditionalFormatting>
  <pageMargins left="0.23622047244094491" right="0.23622047244094491" top="0.74803149606299213" bottom="1.1811023622047245" header="0" footer="0"/>
  <pageSetup paperSize="9" orientation="landscape"/>
  <headerFooter>
    <oddFooter>&amp;L&amp;D&amp;Rhttp://www.yourpersonalstrengthcoach.com wolfgang@yourpersonalstrengthcoach.com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D1000"/>
  <sheetViews>
    <sheetView topLeftCell="I32" workbookViewId="0"/>
  </sheetViews>
  <sheetFormatPr baseColWidth="10" defaultColWidth="14.5" defaultRowHeight="15" customHeight="1"/>
  <cols>
    <col min="1" max="2" width="3.6640625" customWidth="1"/>
    <col min="3" max="30" width="7.6640625" customWidth="1"/>
  </cols>
  <sheetData>
    <row r="1" spans="1:30" ht="15" customHeight="1">
      <c r="A1" s="26"/>
      <c r="B1" s="26"/>
      <c r="C1" s="26"/>
      <c r="D1" s="27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</row>
    <row r="2" spans="1:30" ht="15" customHeight="1">
      <c r="A2" s="26"/>
      <c r="B2" s="28"/>
      <c r="C2" s="26"/>
      <c r="D2" s="27"/>
      <c r="E2" s="26"/>
      <c r="F2" s="26"/>
      <c r="G2" s="26"/>
      <c r="H2" s="26"/>
      <c r="I2" s="26"/>
      <c r="J2" s="26"/>
      <c r="K2" s="26"/>
      <c r="L2" s="26"/>
      <c r="M2" s="72"/>
      <c r="N2" s="72"/>
      <c r="O2" s="72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</row>
    <row r="3" spans="1:30" ht="15" customHeight="1">
      <c r="A3" s="26"/>
      <c r="B3" s="26"/>
      <c r="C3" s="26"/>
      <c r="D3" s="27"/>
      <c r="E3" s="26"/>
      <c r="F3" s="26"/>
      <c r="G3" s="26"/>
      <c r="H3" s="26"/>
      <c r="I3" s="26"/>
      <c r="J3" s="26"/>
      <c r="K3" s="26"/>
      <c r="L3" s="26"/>
      <c r="M3" s="54"/>
      <c r="N3" s="54"/>
      <c r="O3" s="54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</row>
    <row r="4" spans="1:30" ht="15" customHeight="1">
      <c r="A4" s="26"/>
      <c r="B4" s="26"/>
      <c r="C4" s="26"/>
      <c r="D4" s="27"/>
      <c r="E4" s="26"/>
      <c r="F4" s="26"/>
      <c r="G4" s="26"/>
      <c r="H4" s="26"/>
      <c r="I4" s="26"/>
      <c r="J4" s="26"/>
      <c r="K4" s="26"/>
      <c r="L4" s="26"/>
      <c r="M4" s="54"/>
      <c r="N4" s="54"/>
      <c r="O4" s="54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</row>
    <row r="5" spans="1:30" ht="15" customHeight="1">
      <c r="A5" s="26"/>
      <c r="B5" s="26"/>
      <c r="C5" s="26"/>
      <c r="D5" s="27"/>
      <c r="E5" s="26"/>
      <c r="F5" s="26"/>
      <c r="G5" s="26"/>
      <c r="H5" s="26"/>
      <c r="I5" s="26"/>
      <c r="J5" s="26"/>
      <c r="K5" s="26"/>
      <c r="L5" s="26"/>
      <c r="M5" s="54"/>
      <c r="N5" s="54"/>
      <c r="O5" s="54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</row>
    <row r="6" spans="1:30" ht="15" customHeight="1">
      <c r="A6" s="26"/>
      <c r="B6" s="26"/>
      <c r="C6" s="26"/>
      <c r="D6" s="27"/>
      <c r="E6" s="26"/>
      <c r="F6" s="26"/>
      <c r="G6" s="26"/>
      <c r="H6" s="26"/>
      <c r="I6" s="26"/>
      <c r="J6" s="26"/>
      <c r="K6" s="26"/>
      <c r="L6" s="26"/>
      <c r="M6" s="54"/>
      <c r="N6" s="54"/>
      <c r="O6" s="54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</row>
    <row r="7" spans="1:30" ht="15" customHeight="1">
      <c r="A7" s="26"/>
      <c r="B7" s="26"/>
      <c r="C7" s="26"/>
      <c r="D7" s="27"/>
      <c r="E7" s="26"/>
      <c r="F7" s="26"/>
      <c r="G7" s="26"/>
      <c r="H7" s="26"/>
      <c r="I7" s="26"/>
      <c r="J7" s="26"/>
      <c r="K7" s="26"/>
      <c r="L7" s="26"/>
      <c r="M7" s="54"/>
      <c r="N7" s="54"/>
      <c r="O7" s="54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</row>
    <row r="8" spans="1:30" ht="15" customHeight="1">
      <c r="A8" s="26"/>
      <c r="B8" s="26"/>
      <c r="C8" s="26"/>
      <c r="D8" s="26"/>
      <c r="E8" s="27"/>
      <c r="F8" s="26"/>
      <c r="G8" s="26"/>
      <c r="H8" s="26"/>
      <c r="I8" s="26"/>
      <c r="J8" s="26"/>
      <c r="K8" s="26"/>
      <c r="L8" s="32"/>
      <c r="M8" s="55"/>
      <c r="N8" s="55"/>
      <c r="O8" s="54"/>
      <c r="P8" s="34"/>
      <c r="Q8" s="34"/>
      <c r="R8" s="34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ht="17.25" customHeight="1">
      <c r="A9" s="26"/>
      <c r="B9" s="26"/>
      <c r="C9" s="26"/>
      <c r="D9" s="26"/>
      <c r="E9" s="27"/>
      <c r="F9" s="26"/>
      <c r="G9" s="26"/>
      <c r="H9" s="26"/>
      <c r="I9" s="26"/>
      <c r="J9" s="26"/>
      <c r="K9" s="26"/>
      <c r="L9" s="32"/>
      <c r="M9" s="35"/>
      <c r="N9" s="35"/>
      <c r="O9" s="55"/>
      <c r="P9" s="34"/>
      <c r="Q9" s="36"/>
      <c r="R9" s="3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</row>
    <row r="10" spans="1:30" ht="17.25" customHeight="1">
      <c r="A10" s="26"/>
      <c r="B10" s="28" t="s">
        <v>47</v>
      </c>
      <c r="C10" s="26"/>
      <c r="D10" s="26"/>
      <c r="E10" s="28"/>
      <c r="F10" s="26"/>
      <c r="G10" s="26"/>
      <c r="H10" s="26"/>
      <c r="I10" s="26"/>
      <c r="J10" s="26"/>
      <c r="K10" s="26"/>
      <c r="L10" s="32"/>
      <c r="M10" s="35"/>
      <c r="N10" s="35"/>
      <c r="O10" s="37"/>
      <c r="P10" s="34"/>
      <c r="Q10" s="35"/>
      <c r="R10" s="35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</row>
    <row r="11" spans="1:30" ht="9" customHeight="1">
      <c r="A11" s="26"/>
      <c r="B11" s="26"/>
      <c r="C11" s="26"/>
      <c r="D11" s="26"/>
      <c r="E11" s="38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</row>
    <row r="12" spans="1:30" ht="13.5" customHeight="1">
      <c r="A12" s="39"/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40"/>
      <c r="Z12" s="40"/>
      <c r="AA12" s="40"/>
      <c r="AB12" s="40"/>
      <c r="AC12" s="40"/>
      <c r="AD12" s="40"/>
    </row>
    <row r="13" spans="1:30" ht="15" customHeight="1">
      <c r="A13" s="41"/>
      <c r="B13" s="41"/>
      <c r="C13" s="41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42"/>
      <c r="Z13" s="42"/>
      <c r="AA13" s="42"/>
      <c r="AB13" s="42"/>
      <c r="AC13" s="42"/>
      <c r="AD13" s="42"/>
    </row>
    <row r="14" spans="1:30" ht="13.5" customHeight="1">
      <c r="A14" s="26"/>
      <c r="B14" s="26"/>
      <c r="C14" s="26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43"/>
      <c r="Z14" s="44"/>
      <c r="AA14" s="44"/>
      <c r="AB14" s="44"/>
      <c r="AC14" s="44"/>
      <c r="AD14" s="44"/>
    </row>
    <row r="15" spans="1:30" ht="13.5" customHeight="1">
      <c r="A15" s="26"/>
      <c r="B15" s="26"/>
      <c r="C15" s="26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43"/>
      <c r="Z15" s="44"/>
      <c r="AA15" s="44"/>
      <c r="AB15" s="44"/>
      <c r="AC15" s="44"/>
      <c r="AD15" s="44"/>
    </row>
    <row r="16" spans="1:30" ht="13.5" customHeight="1">
      <c r="A16" s="26"/>
      <c r="B16" s="26"/>
      <c r="C16" s="26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43"/>
      <c r="Z16" s="44"/>
      <c r="AA16" s="44"/>
      <c r="AB16" s="44"/>
      <c r="AC16" s="44"/>
      <c r="AD16" s="44"/>
    </row>
    <row r="17" spans="1:30" ht="13.5" customHeight="1">
      <c r="A17" s="26"/>
      <c r="B17" s="26"/>
      <c r="C17" s="26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43"/>
      <c r="Z17" s="44"/>
      <c r="AA17" s="44"/>
      <c r="AB17" s="44"/>
      <c r="AC17" s="44"/>
      <c r="AD17" s="44"/>
    </row>
    <row r="18" spans="1:30" ht="13.5" customHeight="1">
      <c r="A18" s="26"/>
      <c r="B18" s="26"/>
      <c r="C18" s="26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43"/>
      <c r="Z18" s="44"/>
      <c r="AA18" s="44"/>
      <c r="AB18" s="44"/>
      <c r="AC18" s="44"/>
      <c r="AD18" s="44"/>
    </row>
    <row r="19" spans="1:30" ht="13.5" customHeight="1">
      <c r="A19" s="26"/>
      <c r="B19" s="26"/>
      <c r="C19" s="26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43"/>
      <c r="Z19" s="44"/>
      <c r="AA19" s="44"/>
      <c r="AB19" s="44"/>
      <c r="AC19" s="44"/>
      <c r="AD19" s="44"/>
    </row>
    <row r="20" spans="1:30" ht="13.5" customHeight="1">
      <c r="A20" s="26"/>
      <c r="B20" s="26"/>
      <c r="C20" s="26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43"/>
      <c r="Z20" s="44"/>
      <c r="AA20" s="44"/>
      <c r="AB20" s="44"/>
      <c r="AC20" s="44"/>
      <c r="AD20" s="44"/>
    </row>
    <row r="21" spans="1:30" ht="13.5" customHeight="1">
      <c r="A21" s="26"/>
      <c r="B21" s="26"/>
      <c r="C21" s="26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43"/>
      <c r="Z21" s="44"/>
      <c r="AA21" s="44"/>
      <c r="AB21" s="44"/>
      <c r="AC21" s="44"/>
      <c r="AD21" s="44"/>
    </row>
    <row r="22" spans="1:30" ht="13.5" customHeight="1">
      <c r="A22" s="26"/>
      <c r="B22" s="26"/>
      <c r="C22" s="26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43"/>
      <c r="Z22" s="44"/>
      <c r="AA22" s="44"/>
      <c r="AB22" s="44"/>
      <c r="AC22" s="44"/>
      <c r="AD22" s="44"/>
    </row>
    <row r="23" spans="1:30" ht="13.5" customHeight="1">
      <c r="A23" s="26"/>
      <c r="B23" s="26"/>
      <c r="C23" s="26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43"/>
      <c r="Z23" s="44"/>
      <c r="AA23" s="44"/>
      <c r="AB23" s="44"/>
      <c r="AC23" s="44"/>
      <c r="AD23" s="44"/>
    </row>
    <row r="24" spans="1:30" ht="13.5" customHeight="1">
      <c r="A24" s="26"/>
      <c r="B24" s="26"/>
      <c r="C24" s="26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43"/>
      <c r="Z24" s="44"/>
      <c r="AA24" s="44"/>
      <c r="AB24" s="44"/>
      <c r="AC24" s="44"/>
      <c r="AD24" s="44"/>
    </row>
    <row r="25" spans="1:30" ht="13.5" customHeight="1">
      <c r="A25" s="26"/>
      <c r="B25" s="26"/>
      <c r="C25" s="26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43"/>
      <c r="Z25" s="44"/>
      <c r="AA25" s="44"/>
      <c r="AB25" s="44"/>
      <c r="AC25" s="44"/>
      <c r="AD25" s="44"/>
    </row>
    <row r="26" spans="1:30" ht="13.5" customHeight="1">
      <c r="A26" s="26"/>
      <c r="B26" s="26"/>
      <c r="C26" s="26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43"/>
      <c r="Z26" s="44"/>
      <c r="AA26" s="44"/>
      <c r="AB26" s="44"/>
      <c r="AC26" s="44"/>
      <c r="AD26" s="44"/>
    </row>
    <row r="27" spans="1:30" ht="13.5" customHeight="1">
      <c r="A27" s="26"/>
      <c r="B27" s="26"/>
      <c r="C27" s="26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43"/>
      <c r="Z27" s="44"/>
      <c r="AA27" s="44"/>
      <c r="AB27" s="44"/>
      <c r="AC27" s="44"/>
      <c r="AD27" s="44"/>
    </row>
    <row r="28" spans="1:30" ht="13.5" customHeight="1">
      <c r="A28" s="26"/>
      <c r="B28" s="26"/>
      <c r="C28" s="26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43"/>
      <c r="Z28" s="44"/>
      <c r="AA28" s="44"/>
      <c r="AB28" s="44"/>
      <c r="AC28" s="44"/>
      <c r="AD28" s="44"/>
    </row>
    <row r="29" spans="1:30" ht="13.5" customHeight="1">
      <c r="A29" s="26"/>
      <c r="B29" s="26"/>
      <c r="C29" s="26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43"/>
      <c r="Z29" s="44"/>
      <c r="AA29" s="44"/>
      <c r="AB29" s="44"/>
      <c r="AC29" s="44"/>
      <c r="AD29" s="44"/>
    </row>
    <row r="30" spans="1:30" ht="13.5" customHeight="1">
      <c r="A30" s="26"/>
      <c r="B30" s="26"/>
      <c r="C30" s="26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43"/>
      <c r="Z30" s="44"/>
      <c r="AA30" s="44"/>
      <c r="AB30" s="44"/>
      <c r="AC30" s="44"/>
      <c r="AD30" s="44"/>
    </row>
    <row r="31" spans="1:30" ht="13.5" customHeight="1">
      <c r="A31" s="26"/>
      <c r="B31" s="26"/>
      <c r="C31" s="26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43"/>
      <c r="Z31" s="44"/>
      <c r="AA31" s="44"/>
      <c r="AB31" s="44"/>
      <c r="AC31" s="44"/>
      <c r="AD31" s="44"/>
    </row>
    <row r="32" spans="1:30" ht="13.5" customHeight="1">
      <c r="A32" s="26"/>
      <c r="B32" s="26"/>
      <c r="C32" s="26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44"/>
      <c r="Z32" s="44"/>
      <c r="AA32" s="44"/>
      <c r="AB32" s="44"/>
      <c r="AC32" s="44"/>
      <c r="AD32" s="44"/>
    </row>
    <row r="33" spans="1:30" ht="13.5" customHeight="1">
      <c r="A33" s="26"/>
      <c r="B33" s="26"/>
      <c r="C33" s="26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44"/>
      <c r="Z33" s="44"/>
      <c r="AA33" s="44"/>
      <c r="AB33" s="44"/>
      <c r="AC33" s="44"/>
      <c r="AD33" s="44"/>
    </row>
    <row r="34" spans="1:30" ht="13.5" customHeight="1">
      <c r="A34" s="26"/>
      <c r="B34" s="26"/>
      <c r="C34" s="26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44"/>
      <c r="Z34" s="44"/>
      <c r="AA34" s="44"/>
      <c r="AB34" s="44"/>
      <c r="AC34" s="44"/>
      <c r="AD34" s="44"/>
    </row>
    <row r="35" spans="1:30" ht="13.5" customHeight="1">
      <c r="A35" s="26"/>
      <c r="B35" s="26"/>
      <c r="C35" s="26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44"/>
      <c r="Z35" s="44"/>
      <c r="AA35" s="44"/>
      <c r="AB35" s="44"/>
      <c r="AC35" s="44"/>
      <c r="AD35" s="44"/>
    </row>
    <row r="36" spans="1:30" ht="13.5" customHeight="1">
      <c r="A36" s="26"/>
      <c r="B36" s="26"/>
      <c r="C36" s="26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44"/>
      <c r="Z36" s="44"/>
      <c r="AA36" s="44"/>
      <c r="AB36" s="44"/>
      <c r="AC36" s="44"/>
      <c r="AD36" s="44"/>
    </row>
    <row r="37" spans="1:30" ht="13.5" customHeight="1">
      <c r="A37" s="26"/>
      <c r="B37" s="26"/>
      <c r="C37" s="26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44"/>
      <c r="Z37" s="44"/>
      <c r="AA37" s="44"/>
      <c r="AB37" s="44"/>
      <c r="AC37" s="44"/>
      <c r="AD37" s="44"/>
    </row>
    <row r="38" spans="1:30" ht="13.5" customHeight="1">
      <c r="A38" s="26"/>
      <c r="B38" s="26"/>
      <c r="C38" s="26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44"/>
      <c r="Z38" s="44"/>
      <c r="AA38" s="44"/>
      <c r="AB38" s="44"/>
      <c r="AC38" s="44"/>
      <c r="AD38" s="44"/>
    </row>
    <row r="39" spans="1:30" ht="13.5" customHeight="1">
      <c r="A39" s="26"/>
      <c r="B39" s="26"/>
      <c r="C39" s="26"/>
      <c r="D39" s="26"/>
      <c r="E39" s="27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40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</row>
    <row r="40" spans="1:30" ht="18" customHeight="1">
      <c r="A40" s="26"/>
      <c r="B40" s="26"/>
      <c r="C40" s="73" t="s">
        <v>48</v>
      </c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5"/>
      <c r="Q40" s="26"/>
      <c r="R40" s="73" t="s">
        <v>49</v>
      </c>
      <c r="S40" s="74"/>
      <c r="T40" s="74"/>
      <c r="U40" s="74"/>
      <c r="V40" s="74"/>
      <c r="W40" s="74"/>
      <c r="X40" s="74"/>
      <c r="Y40" s="74"/>
      <c r="Z40" s="74"/>
      <c r="AA40" s="74"/>
      <c r="AB40" s="74"/>
      <c r="AC40" s="74"/>
      <c r="AD40" s="75"/>
    </row>
    <row r="41" spans="1:30" ht="14.25" customHeight="1">
      <c r="A41" s="26"/>
      <c r="B41" s="26"/>
      <c r="C41" s="76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8"/>
      <c r="Q41" s="26"/>
      <c r="R41" s="82"/>
      <c r="S41" s="83"/>
      <c r="T41" s="83"/>
      <c r="U41" s="83"/>
      <c r="V41" s="83"/>
      <c r="W41" s="83"/>
      <c r="X41" s="83"/>
      <c r="Y41" s="83"/>
      <c r="Z41" s="83"/>
      <c r="AA41" s="83"/>
      <c r="AB41" s="83"/>
      <c r="AC41" s="83"/>
      <c r="AD41" s="84"/>
    </row>
    <row r="42" spans="1:30" ht="18" customHeight="1">
      <c r="A42" s="26"/>
      <c r="B42" s="26"/>
      <c r="C42" s="79"/>
      <c r="D42" s="80"/>
      <c r="E42" s="80"/>
      <c r="F42" s="80"/>
      <c r="G42" s="80"/>
      <c r="H42" s="80"/>
      <c r="I42" s="80"/>
      <c r="J42" s="80"/>
      <c r="K42" s="80"/>
      <c r="L42" s="80"/>
      <c r="M42" s="80"/>
      <c r="N42" s="80"/>
      <c r="O42" s="80"/>
      <c r="P42" s="81"/>
      <c r="Q42" s="26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</row>
    <row r="43" spans="1:30" ht="55.5" customHeight="1">
      <c r="A43" s="26"/>
      <c r="B43" s="26"/>
      <c r="C43" s="26"/>
      <c r="D43" s="46" t="s">
        <v>29</v>
      </c>
      <c r="E43" s="46" t="s">
        <v>30</v>
      </c>
      <c r="F43" s="46" t="s">
        <v>31</v>
      </c>
      <c r="G43" s="46" t="s">
        <v>32</v>
      </c>
      <c r="H43" s="46" t="s">
        <v>50</v>
      </c>
      <c r="I43" s="46" t="s">
        <v>34</v>
      </c>
      <c r="J43" s="46" t="s">
        <v>35</v>
      </c>
      <c r="K43" s="46" t="s">
        <v>36</v>
      </c>
      <c r="L43" s="46" t="s">
        <v>37</v>
      </c>
      <c r="M43" s="46" t="s">
        <v>51</v>
      </c>
      <c r="N43" s="46" t="s">
        <v>52</v>
      </c>
      <c r="O43" s="46" t="s">
        <v>53</v>
      </c>
      <c r="P43" s="46" t="s">
        <v>41</v>
      </c>
      <c r="Q43" s="26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</row>
    <row r="44" spans="1:30" ht="16.5" customHeight="1">
      <c r="A44" s="26"/>
      <c r="B44" s="69" t="s">
        <v>54</v>
      </c>
      <c r="C44" s="47" t="s">
        <v>55</v>
      </c>
      <c r="D44" s="47">
        <v>1.3</v>
      </c>
      <c r="E44" s="47">
        <v>1.97</v>
      </c>
      <c r="F44" s="47">
        <v>0.78</v>
      </c>
      <c r="G44" s="47">
        <v>1</v>
      </c>
      <c r="H44" s="47">
        <v>2.1</v>
      </c>
      <c r="I44" s="47">
        <v>1.23</v>
      </c>
      <c r="J44" s="47">
        <v>2</v>
      </c>
      <c r="K44" s="47">
        <v>1.96</v>
      </c>
      <c r="L44" s="47">
        <v>1.51</v>
      </c>
      <c r="M44" s="47">
        <v>0.91</v>
      </c>
      <c r="N44" s="47">
        <v>1.25</v>
      </c>
      <c r="O44" s="47">
        <v>1.25</v>
      </c>
      <c r="P44" s="47">
        <v>0.83</v>
      </c>
      <c r="Q44" s="42"/>
      <c r="R44" s="67">
        <v>1</v>
      </c>
      <c r="S44" s="67">
        <v>2</v>
      </c>
      <c r="T44" s="67">
        <v>3</v>
      </c>
      <c r="U44" s="67">
        <v>4</v>
      </c>
      <c r="V44" s="67">
        <v>5</v>
      </c>
      <c r="W44" s="67">
        <v>6</v>
      </c>
      <c r="X44" s="67">
        <v>7</v>
      </c>
      <c r="Y44" s="67">
        <v>8</v>
      </c>
      <c r="Z44" s="67">
        <v>9</v>
      </c>
      <c r="AA44" s="67">
        <v>10</v>
      </c>
      <c r="AB44" s="67">
        <v>11</v>
      </c>
      <c r="AC44" s="67">
        <v>12</v>
      </c>
      <c r="AD44" s="67">
        <v>13</v>
      </c>
    </row>
    <row r="45" spans="1:30" ht="16.5" customHeight="1">
      <c r="A45" s="26"/>
      <c r="B45" s="70"/>
      <c r="C45" s="47" t="s">
        <v>56</v>
      </c>
      <c r="D45" s="47">
        <f t="shared" ref="D45:P45" si="0">AVERAGE(D44,D46)</f>
        <v>1.405</v>
      </c>
      <c r="E45" s="47">
        <f t="shared" si="0"/>
        <v>1.9849999999999999</v>
      </c>
      <c r="F45" s="47">
        <f t="shared" si="0"/>
        <v>0.79500000000000004</v>
      </c>
      <c r="G45" s="47">
        <f t="shared" si="0"/>
        <v>1</v>
      </c>
      <c r="H45" s="47">
        <f t="shared" si="0"/>
        <v>2.2549999999999999</v>
      </c>
      <c r="I45" s="47">
        <f t="shared" si="0"/>
        <v>1.405</v>
      </c>
      <c r="J45" s="47">
        <f t="shared" si="0"/>
        <v>2.15</v>
      </c>
      <c r="K45" s="47">
        <f t="shared" si="0"/>
        <v>2.0099999999999998</v>
      </c>
      <c r="L45" s="47">
        <f t="shared" si="0"/>
        <v>1.625</v>
      </c>
      <c r="M45" s="47">
        <f t="shared" si="0"/>
        <v>0.95</v>
      </c>
      <c r="N45" s="47">
        <f t="shared" si="0"/>
        <v>1.325</v>
      </c>
      <c r="O45" s="47">
        <f t="shared" si="0"/>
        <v>1.325</v>
      </c>
      <c r="P45" s="47">
        <f t="shared" si="0"/>
        <v>0.84</v>
      </c>
      <c r="Q45" s="85"/>
      <c r="R45" s="54"/>
      <c r="S45" s="54"/>
      <c r="T45" s="54"/>
      <c r="U45" s="54"/>
      <c r="V45" s="54"/>
      <c r="W45" s="54"/>
      <c r="X45" s="54"/>
      <c r="Y45" s="54"/>
      <c r="Z45" s="54"/>
      <c r="AA45" s="54"/>
      <c r="AB45" s="54"/>
      <c r="AC45" s="54"/>
      <c r="AD45" s="54"/>
    </row>
    <row r="46" spans="1:30" ht="16.5" customHeight="1">
      <c r="A46" s="26"/>
      <c r="B46" s="71"/>
      <c r="C46" s="47" t="s">
        <v>57</v>
      </c>
      <c r="D46" s="47">
        <v>1.51</v>
      </c>
      <c r="E46" s="47">
        <v>2</v>
      </c>
      <c r="F46" s="47">
        <v>0.81</v>
      </c>
      <c r="G46" s="47">
        <v>1</v>
      </c>
      <c r="H46" s="47">
        <v>2.41</v>
      </c>
      <c r="I46" s="47">
        <v>1.58</v>
      </c>
      <c r="J46" s="47">
        <v>2.2999999999999998</v>
      </c>
      <c r="K46" s="47">
        <v>2.06</v>
      </c>
      <c r="L46" s="47">
        <v>1.74</v>
      </c>
      <c r="M46" s="47">
        <v>0.99</v>
      </c>
      <c r="N46" s="47">
        <v>1.4</v>
      </c>
      <c r="O46" s="47">
        <v>1.4</v>
      </c>
      <c r="P46" s="47">
        <v>0.85</v>
      </c>
      <c r="Q46" s="86"/>
      <c r="R46" s="54"/>
      <c r="S46" s="54"/>
      <c r="T46" s="54"/>
      <c r="U46" s="54"/>
      <c r="V46" s="54"/>
      <c r="W46" s="54"/>
      <c r="X46" s="54"/>
      <c r="Y46" s="54"/>
      <c r="Z46" s="54"/>
      <c r="AA46" s="54"/>
      <c r="AB46" s="54"/>
      <c r="AC46" s="54"/>
      <c r="AD46" s="54"/>
    </row>
    <row r="47" spans="1:30" ht="16.5" customHeight="1">
      <c r="A47" s="26"/>
      <c r="B47" s="69" t="s">
        <v>58</v>
      </c>
      <c r="C47" s="47" t="s">
        <v>55</v>
      </c>
      <c r="D47" s="47">
        <v>0.59</v>
      </c>
      <c r="E47" s="47">
        <v>0.82</v>
      </c>
      <c r="F47" s="47">
        <v>0.33</v>
      </c>
      <c r="G47" s="47">
        <v>1</v>
      </c>
      <c r="H47" s="47">
        <v>0.74</v>
      </c>
      <c r="I47" s="47">
        <v>0.6</v>
      </c>
      <c r="J47" s="47">
        <v>0.64</v>
      </c>
      <c r="K47" s="47">
        <v>0.71</v>
      </c>
      <c r="L47" s="47">
        <v>0.57999999999999996</v>
      </c>
      <c r="M47" s="47">
        <v>0.82</v>
      </c>
      <c r="N47" s="47">
        <v>1.69</v>
      </c>
      <c r="O47" s="47">
        <v>1.69</v>
      </c>
      <c r="P47" s="47">
        <v>0.41</v>
      </c>
      <c r="Q47" s="42"/>
      <c r="R47" s="54"/>
      <c r="S47" s="54"/>
      <c r="T47" s="54"/>
      <c r="U47" s="54"/>
      <c r="V47" s="54"/>
      <c r="W47" s="54"/>
      <c r="X47" s="54"/>
      <c r="Y47" s="54"/>
      <c r="Z47" s="54"/>
      <c r="AA47" s="54"/>
      <c r="AB47" s="54"/>
      <c r="AC47" s="54"/>
      <c r="AD47" s="54"/>
    </row>
    <row r="48" spans="1:30" ht="16.5" customHeight="1">
      <c r="A48" s="26"/>
      <c r="B48" s="70"/>
      <c r="C48" s="47" t="s">
        <v>56</v>
      </c>
      <c r="D48" s="47">
        <f t="shared" ref="D48:P48" si="1">AVERAGE(D47,D49)</f>
        <v>0.65500000000000003</v>
      </c>
      <c r="E48" s="47">
        <f t="shared" si="1"/>
        <v>0.87</v>
      </c>
      <c r="F48" s="47">
        <f t="shared" si="1"/>
        <v>0.33999999999999997</v>
      </c>
      <c r="G48" s="47">
        <f t="shared" si="1"/>
        <v>1</v>
      </c>
      <c r="H48" s="47">
        <f t="shared" si="1"/>
        <v>0.87</v>
      </c>
      <c r="I48" s="47">
        <f t="shared" si="1"/>
        <v>0.70500000000000007</v>
      </c>
      <c r="J48" s="47">
        <f t="shared" si="1"/>
        <v>0.77500000000000002</v>
      </c>
      <c r="K48" s="47">
        <f t="shared" si="1"/>
        <v>0.81499999999999995</v>
      </c>
      <c r="L48" s="47">
        <f t="shared" si="1"/>
        <v>0.6</v>
      </c>
      <c r="M48" s="47">
        <f t="shared" si="1"/>
        <v>0.86499999999999999</v>
      </c>
      <c r="N48" s="47">
        <f t="shared" si="1"/>
        <v>1.7450000000000001</v>
      </c>
      <c r="O48" s="47">
        <f t="shared" si="1"/>
        <v>1.7450000000000001</v>
      </c>
      <c r="P48" s="47">
        <f t="shared" si="1"/>
        <v>0.44999999999999996</v>
      </c>
      <c r="Q48" s="85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</row>
    <row r="49" spans="1:30" ht="16.5" customHeight="1">
      <c r="A49" s="26"/>
      <c r="B49" s="71"/>
      <c r="C49" s="47" t="s">
        <v>57</v>
      </c>
      <c r="D49" s="47">
        <v>0.72</v>
      </c>
      <c r="E49" s="47">
        <v>0.92</v>
      </c>
      <c r="F49" s="47">
        <v>0.35</v>
      </c>
      <c r="G49" s="47">
        <v>1</v>
      </c>
      <c r="H49" s="47">
        <v>1</v>
      </c>
      <c r="I49" s="47">
        <v>0.81</v>
      </c>
      <c r="J49" s="47">
        <v>0.91</v>
      </c>
      <c r="K49" s="47">
        <v>0.92</v>
      </c>
      <c r="L49" s="47">
        <v>0.62</v>
      </c>
      <c r="M49" s="47">
        <v>0.91</v>
      </c>
      <c r="N49" s="47">
        <v>1.8</v>
      </c>
      <c r="O49" s="47">
        <v>1.8</v>
      </c>
      <c r="P49" s="47">
        <v>0.49</v>
      </c>
      <c r="Q49" s="86"/>
      <c r="R49" s="68"/>
      <c r="S49" s="68"/>
      <c r="T49" s="68"/>
      <c r="U49" s="68"/>
      <c r="V49" s="68"/>
      <c r="W49" s="68"/>
      <c r="X49" s="68"/>
      <c r="Y49" s="68"/>
      <c r="Z49" s="68"/>
      <c r="AA49" s="68"/>
      <c r="AB49" s="68"/>
      <c r="AC49" s="68"/>
      <c r="AD49" s="68"/>
    </row>
    <row r="50" spans="1:30" ht="13.5" customHeight="1">
      <c r="A50" s="26"/>
      <c r="B50" s="26"/>
      <c r="C50" s="26"/>
      <c r="D50" s="48" t="str">
        <f>IF(Tracking!J14="","",IF(Person!$C$20="m",ABS((Tracking!J14/4-D$45)),ABS((Tracking!J14/4-D$48))))</f>
        <v/>
      </c>
      <c r="E50" s="48" t="str">
        <f>IF(Tracking!K14="","",IF(Person!$C$20="m",ABS((Tracking!K14/4-E$45)),ABS((Tracking!K14/4-E$48))))</f>
        <v/>
      </c>
      <c r="F50" s="48" t="str">
        <f>IF(Tracking!L14="","",IF(Person!$C$20="m",ABS((Tracking!L14/4-F$45)),ABS((Tracking!L14/4-F$48))))</f>
        <v/>
      </c>
      <c r="G50" s="48" t="str">
        <f>IF(Tracking!M14="","",IF(Person!$C$20="m",ABS((Tracking!M14/4-G$45)),ABS((Tracking!M14/4-G$48))))</f>
        <v/>
      </c>
      <c r="H50" s="48" t="str">
        <f>IF(Tracking!N14="","",IF(Person!$C$20="m",ABS((Tracking!N14/4-H$45)),ABS((Tracking!N14/4-H$48))))</f>
        <v/>
      </c>
      <c r="I50" s="48" t="str">
        <f>IF(Tracking!O14="","",IF(Person!$C$20="m",ABS((Tracking!O14/4-I$45)),ABS((Tracking!O14/4-I$48))))</f>
        <v/>
      </c>
      <c r="J50" s="48" t="str">
        <f>IF(Tracking!P14="","",IF(Person!$C$20="m",ABS((Tracking!P14/4-J$45)),ABS((Tracking!P14/4-J$48))))</f>
        <v/>
      </c>
      <c r="K50" s="48" t="str">
        <f>IF(Tracking!Q14="","",IF(Person!$C$20="m",ABS((Tracking!Q14/4-K$45)),ABS((Tracking!Q14/4-K$48))))</f>
        <v/>
      </c>
      <c r="L50" s="48" t="str">
        <f>IF(Tracking!R14="","",IF(Person!$C$20="m",ABS((Tracking!R14/4-L$45)),ABS((Tracking!R14/4-L$48))))</f>
        <v/>
      </c>
      <c r="M50" s="48" t="str">
        <f>IF(Tracking!S14="","",IF(Person!$C$20="m",ABS((Tracking!S14/4-M$45)),ABS((Tracking!S14/4-M$48))))</f>
        <v/>
      </c>
      <c r="N50" s="48" t="str">
        <f>IF(Tracking!T14="","",IF(Person!$C$20="m",ABS((Tracking!T14/4-N$45)),ABS((Tracking!T14/4-N$48))))</f>
        <v/>
      </c>
      <c r="O50" s="48" t="str">
        <f>IF(Tracking!U14="","",IF(Person!$C$20="m",ABS((Tracking!U14/4-O$45)),ABS((Tracking!U14/4-O$48))))</f>
        <v/>
      </c>
      <c r="P50" s="48" t="str">
        <f>IF(Tracking!V14="","",IF(Person!$C$20="m",ABS((Tracking!V14/4-P$45)),ABS((Tracking!V14/4-P$48))))</f>
        <v/>
      </c>
      <c r="Q50" s="43"/>
      <c r="R50" s="48" t="str">
        <f t="shared" ref="R50:AD50" si="2">IF(ISERROR(LARGE($D50:$P50,R$44)),"",LARGE($D50:$P50,R$44))</f>
        <v/>
      </c>
      <c r="S50" s="48" t="str">
        <f t="shared" si="2"/>
        <v/>
      </c>
      <c r="T50" s="48" t="str">
        <f t="shared" si="2"/>
        <v/>
      </c>
      <c r="U50" s="48" t="str">
        <f t="shared" si="2"/>
        <v/>
      </c>
      <c r="V50" s="48" t="str">
        <f t="shared" si="2"/>
        <v/>
      </c>
      <c r="W50" s="48" t="str">
        <f t="shared" si="2"/>
        <v/>
      </c>
      <c r="X50" s="48" t="str">
        <f t="shared" si="2"/>
        <v/>
      </c>
      <c r="Y50" s="48" t="str">
        <f t="shared" si="2"/>
        <v/>
      </c>
      <c r="Z50" s="48" t="str">
        <f t="shared" si="2"/>
        <v/>
      </c>
      <c r="AA50" s="48" t="str">
        <f t="shared" si="2"/>
        <v/>
      </c>
      <c r="AB50" s="48" t="str">
        <f t="shared" si="2"/>
        <v/>
      </c>
      <c r="AC50" s="48" t="str">
        <f t="shared" si="2"/>
        <v/>
      </c>
      <c r="AD50" s="48" t="str">
        <f t="shared" si="2"/>
        <v/>
      </c>
    </row>
    <row r="51" spans="1:30" ht="13.5" customHeight="1">
      <c r="A51" s="26"/>
      <c r="B51" s="26"/>
      <c r="C51" s="26"/>
      <c r="D51" s="49" t="str">
        <f t="shared" ref="D51:P51" si="3">IF(D50="","",IF(D50=$R50,1,IF(D50=$S50,2,IF(D50=$T50,3,IF(D50=$U50,4,IF(D50=$V50,5,IF(D50=$W50,6,IF(D50=$X50,7,IF(D50=$Y50,8,IF(D50=$Z50,9,IF(D50=$AA50,10,IF(D50=$AB50,11,IF(D50=$AC50,12,IF(D50=$AD50,13))))))))))))))</f>
        <v/>
      </c>
      <c r="E51" s="49" t="str">
        <f t="shared" si="3"/>
        <v/>
      </c>
      <c r="F51" s="49" t="str">
        <f t="shared" si="3"/>
        <v/>
      </c>
      <c r="G51" s="49" t="str">
        <f t="shared" si="3"/>
        <v/>
      </c>
      <c r="H51" s="49" t="str">
        <f t="shared" si="3"/>
        <v/>
      </c>
      <c r="I51" s="49" t="str">
        <f t="shared" si="3"/>
        <v/>
      </c>
      <c r="J51" s="49" t="str">
        <f t="shared" si="3"/>
        <v/>
      </c>
      <c r="K51" s="49" t="str">
        <f t="shared" si="3"/>
        <v/>
      </c>
      <c r="L51" s="49" t="str">
        <f t="shared" si="3"/>
        <v/>
      </c>
      <c r="M51" s="49" t="str">
        <f t="shared" si="3"/>
        <v/>
      </c>
      <c r="N51" s="49" t="str">
        <f t="shared" si="3"/>
        <v/>
      </c>
      <c r="O51" s="49" t="str">
        <f t="shared" si="3"/>
        <v/>
      </c>
      <c r="P51" s="49" t="str">
        <f t="shared" si="3"/>
        <v/>
      </c>
      <c r="Q51" s="43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</row>
    <row r="52" spans="1:30" ht="13.5" customHeight="1">
      <c r="A52" s="26"/>
      <c r="B52" s="26"/>
      <c r="C52" s="26"/>
      <c r="D52" s="48" t="str">
        <f>IF(Tracking!J16="","",IF(Person!$C$20="m",ABS((Tracking!J16/4-D$45)),ABS((Tracking!J16/4-D$48))))</f>
        <v/>
      </c>
      <c r="E52" s="48" t="str">
        <f>IF(Tracking!K16="","",IF(Person!$C$20="m",ABS((Tracking!K16/4-E$45)),ABS((Tracking!K16/4-E$48))))</f>
        <v/>
      </c>
      <c r="F52" s="48" t="str">
        <f>IF(Tracking!L16="","",IF(Person!$C$20="m",ABS((Tracking!L16/4-F$45)),ABS((Tracking!L16/4-F$48))))</f>
        <v/>
      </c>
      <c r="G52" s="48" t="str">
        <f>IF(Tracking!M16="","",IF(Person!$C$20="m",ABS((Tracking!M16/4-G$45)),ABS((Tracking!M16/4-G$48))))</f>
        <v/>
      </c>
      <c r="H52" s="48" t="str">
        <f>IF(Tracking!N16="","",IF(Person!$C$20="m",ABS((Tracking!N16/4-H$45)),ABS((Tracking!N16/4-H$48))))</f>
        <v/>
      </c>
      <c r="I52" s="48" t="str">
        <f>IF(Tracking!O16="","",IF(Person!$C$20="m",ABS((Tracking!O16/4-I$45)),ABS((Tracking!O16/4-I$48))))</f>
        <v/>
      </c>
      <c r="J52" s="48" t="str">
        <f>IF(Tracking!P16="","",IF(Person!$C$20="m",ABS((Tracking!P16/4-J$45)),ABS((Tracking!P16/4-J$48))))</f>
        <v/>
      </c>
      <c r="K52" s="48" t="str">
        <f>IF(Tracking!Q16="","",IF(Person!$C$20="m",ABS((Tracking!Q16/4-K$45)),ABS((Tracking!Q16/4-K$48))))</f>
        <v/>
      </c>
      <c r="L52" s="48" t="str">
        <f>IF(Tracking!R16="","",IF(Person!$C$20="m",ABS((Tracking!R16/4-L$45)),ABS((Tracking!R16/4-L$48))))</f>
        <v/>
      </c>
      <c r="M52" s="48" t="str">
        <f>IF(Tracking!S16="","",IF(Person!$C$20="m",ABS((Tracking!S16/4-M$45)),ABS((Tracking!S16/4-M$48))))</f>
        <v/>
      </c>
      <c r="N52" s="48" t="str">
        <f>IF(Tracking!T16="","",IF(Person!$C$20="m",ABS((Tracking!T16/4-N$45)),ABS((Tracking!T16/4-N$48))))</f>
        <v/>
      </c>
      <c r="O52" s="48" t="str">
        <f>IF(Tracking!U16="","",IF(Person!$C$20="m",ABS((Tracking!U16/4-O$45)),ABS((Tracking!U16/4-O$48))))</f>
        <v/>
      </c>
      <c r="P52" s="48" t="str">
        <f>IF(Tracking!V16="","",IF(Person!$C$20="m",ABS((Tracking!V16/4-P$45)),ABS((Tracking!V16/4-P$48))))</f>
        <v/>
      </c>
      <c r="Q52" s="43"/>
      <c r="R52" s="48" t="str">
        <f t="shared" ref="R52:AD52" si="4">IF(ISERROR(LARGE($D52:$P52,R$44)),"",LARGE($D52:$P52,R$44))</f>
        <v/>
      </c>
      <c r="S52" s="48" t="str">
        <f t="shared" si="4"/>
        <v/>
      </c>
      <c r="T52" s="48" t="str">
        <f t="shared" si="4"/>
        <v/>
      </c>
      <c r="U52" s="48" t="str">
        <f t="shared" si="4"/>
        <v/>
      </c>
      <c r="V52" s="48" t="str">
        <f t="shared" si="4"/>
        <v/>
      </c>
      <c r="W52" s="48" t="str">
        <f t="shared" si="4"/>
        <v/>
      </c>
      <c r="X52" s="48" t="str">
        <f t="shared" si="4"/>
        <v/>
      </c>
      <c r="Y52" s="48" t="str">
        <f t="shared" si="4"/>
        <v/>
      </c>
      <c r="Z52" s="48" t="str">
        <f t="shared" si="4"/>
        <v/>
      </c>
      <c r="AA52" s="48" t="str">
        <f t="shared" si="4"/>
        <v/>
      </c>
      <c r="AB52" s="48" t="str">
        <f t="shared" si="4"/>
        <v/>
      </c>
      <c r="AC52" s="48" t="str">
        <f t="shared" si="4"/>
        <v/>
      </c>
      <c r="AD52" s="48" t="str">
        <f t="shared" si="4"/>
        <v/>
      </c>
    </row>
    <row r="53" spans="1:30" ht="13.5" customHeight="1">
      <c r="A53" s="26"/>
      <c r="B53" s="26"/>
      <c r="C53" s="26"/>
      <c r="D53" s="49" t="str">
        <f t="shared" ref="D53:P53" si="5">IF(D52="","",IF(D52=$R52,1,IF(D52=$S52,2,IF(D52=$T52,3,IF(D52=$U52,4,IF(D52=$V52,5,IF(D52=$W52,6,IF(D52=$X52,7,IF(D52=$Y52,8,IF(D52=$Z52,9,IF(D52=$AA52,10,IF(D52=$AB52,11,IF(D52=$AC52,12,IF(D52=$AD52,13))))))))))))))</f>
        <v/>
      </c>
      <c r="E53" s="49" t="str">
        <f t="shared" si="5"/>
        <v/>
      </c>
      <c r="F53" s="49" t="str">
        <f t="shared" si="5"/>
        <v/>
      </c>
      <c r="G53" s="49" t="str">
        <f t="shared" si="5"/>
        <v/>
      </c>
      <c r="H53" s="49" t="str">
        <f t="shared" si="5"/>
        <v/>
      </c>
      <c r="I53" s="49" t="str">
        <f t="shared" si="5"/>
        <v/>
      </c>
      <c r="J53" s="49" t="str">
        <f t="shared" si="5"/>
        <v/>
      </c>
      <c r="K53" s="49" t="str">
        <f t="shared" si="5"/>
        <v/>
      </c>
      <c r="L53" s="49" t="str">
        <f t="shared" si="5"/>
        <v/>
      </c>
      <c r="M53" s="49" t="str">
        <f t="shared" si="5"/>
        <v/>
      </c>
      <c r="N53" s="49" t="str">
        <f t="shared" si="5"/>
        <v/>
      </c>
      <c r="O53" s="49" t="str">
        <f t="shared" si="5"/>
        <v/>
      </c>
      <c r="P53" s="49" t="str">
        <f t="shared" si="5"/>
        <v/>
      </c>
      <c r="Q53" s="43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</row>
    <row r="54" spans="1:30" ht="13.5" customHeight="1">
      <c r="A54" s="26"/>
      <c r="B54" s="26"/>
      <c r="C54" s="26"/>
      <c r="D54" s="48" t="str">
        <f>IF(Tracking!J18="","",IF(Person!$C$20="m",ABS((Tracking!J18/4-D$45)),ABS((Tracking!J18/4-D$48))))</f>
        <v/>
      </c>
      <c r="E54" s="48" t="str">
        <f>IF(Tracking!K18="","",IF(Person!$C$20="m",ABS((Tracking!K18/4-E$45)),ABS((Tracking!K18/4-E$48))))</f>
        <v/>
      </c>
      <c r="F54" s="48" t="str">
        <f>IF(Tracking!L18="","",IF(Person!$C$20="m",ABS((Tracking!L18/4-F$45)),ABS((Tracking!L18/4-F$48))))</f>
        <v/>
      </c>
      <c r="G54" s="48" t="str">
        <f>IF(Tracking!M18="","",IF(Person!$C$20="m",ABS((Tracking!M18/4-G$45)),ABS((Tracking!M18/4-G$48))))</f>
        <v/>
      </c>
      <c r="H54" s="48" t="str">
        <f>IF(Tracking!N18="","",IF(Person!$C$20="m",ABS((Tracking!N18/4-H$45)),ABS((Tracking!N18/4-H$48))))</f>
        <v/>
      </c>
      <c r="I54" s="48" t="str">
        <f>IF(Tracking!O18="","",IF(Person!$C$20="m",ABS((Tracking!O18/4-I$45)),ABS((Tracking!O18/4-I$48))))</f>
        <v/>
      </c>
      <c r="J54" s="48" t="str">
        <f>IF(Tracking!P18="","",IF(Person!$C$20="m",ABS((Tracking!P18/4-J$45)),ABS((Tracking!P18/4-J$48))))</f>
        <v/>
      </c>
      <c r="K54" s="48" t="str">
        <f>IF(Tracking!Q18="","",IF(Person!$C$20="m",ABS((Tracking!Q18/4-K$45)),ABS((Tracking!Q18/4-K$48))))</f>
        <v/>
      </c>
      <c r="L54" s="48" t="str">
        <f>IF(Tracking!R18="","",IF(Person!$C$20="m",ABS((Tracking!R18/4-L$45)),ABS((Tracking!R18/4-L$48))))</f>
        <v/>
      </c>
      <c r="M54" s="48" t="str">
        <f>IF(Tracking!S18="","",IF(Person!$C$20="m",ABS((Tracking!S18/4-M$45)),ABS((Tracking!S18/4-M$48))))</f>
        <v/>
      </c>
      <c r="N54" s="48" t="str">
        <f>IF(Tracking!T18="","",IF(Person!$C$20="m",ABS((Tracking!T18/4-N$45)),ABS((Tracking!T18/4-N$48))))</f>
        <v/>
      </c>
      <c r="O54" s="48" t="str">
        <f>IF(Tracking!U18="","",IF(Person!$C$20="m",ABS((Tracking!U18/4-O$45)),ABS((Tracking!U18/4-O$48))))</f>
        <v/>
      </c>
      <c r="P54" s="48" t="str">
        <f>IF(Tracking!V18="","",IF(Person!$C$20="m",ABS((Tracking!V18/4-P$45)),ABS((Tracking!V18/4-P$48))))</f>
        <v/>
      </c>
      <c r="Q54" s="43"/>
      <c r="R54" s="48" t="str">
        <f t="shared" ref="R54:AD54" si="6">IF(ISERROR(LARGE($D54:$P54,R$44)),"",LARGE($D54:$P54,R$44))</f>
        <v/>
      </c>
      <c r="S54" s="48" t="str">
        <f t="shared" si="6"/>
        <v/>
      </c>
      <c r="T54" s="48" t="str">
        <f t="shared" si="6"/>
        <v/>
      </c>
      <c r="U54" s="48" t="str">
        <f t="shared" si="6"/>
        <v/>
      </c>
      <c r="V54" s="48" t="str">
        <f t="shared" si="6"/>
        <v/>
      </c>
      <c r="W54" s="48" t="str">
        <f t="shared" si="6"/>
        <v/>
      </c>
      <c r="X54" s="48" t="str">
        <f t="shared" si="6"/>
        <v/>
      </c>
      <c r="Y54" s="48" t="str">
        <f t="shared" si="6"/>
        <v/>
      </c>
      <c r="Z54" s="48" t="str">
        <f t="shared" si="6"/>
        <v/>
      </c>
      <c r="AA54" s="48" t="str">
        <f t="shared" si="6"/>
        <v/>
      </c>
      <c r="AB54" s="48" t="str">
        <f t="shared" si="6"/>
        <v/>
      </c>
      <c r="AC54" s="48" t="str">
        <f t="shared" si="6"/>
        <v/>
      </c>
      <c r="AD54" s="48" t="str">
        <f t="shared" si="6"/>
        <v/>
      </c>
    </row>
    <row r="55" spans="1:30" ht="13.5" customHeight="1">
      <c r="A55" s="26"/>
      <c r="B55" s="26"/>
      <c r="C55" s="26"/>
      <c r="D55" s="49" t="str">
        <f t="shared" ref="D55:P55" si="7">IF(D54="","",IF(D54=$R54,1,IF(D54=$S54,2,IF(D54=$T54,3,IF(D54=$U54,4,IF(D54=$V54,5,IF(D54=$W54,6,IF(D54=$X54,7,IF(D54=$Y54,8,IF(D54=$Z54,9,IF(D54=$AA54,10,IF(D54=$AB54,11,IF(D54=$AC54,12,IF(D54=$AD54,13))))))))))))))</f>
        <v/>
      </c>
      <c r="E55" s="49" t="str">
        <f t="shared" si="7"/>
        <v/>
      </c>
      <c r="F55" s="49" t="str">
        <f t="shared" si="7"/>
        <v/>
      </c>
      <c r="G55" s="49" t="str">
        <f t="shared" si="7"/>
        <v/>
      </c>
      <c r="H55" s="49" t="str">
        <f t="shared" si="7"/>
        <v/>
      </c>
      <c r="I55" s="49" t="str">
        <f t="shared" si="7"/>
        <v/>
      </c>
      <c r="J55" s="49" t="str">
        <f t="shared" si="7"/>
        <v/>
      </c>
      <c r="K55" s="49" t="str">
        <f t="shared" si="7"/>
        <v/>
      </c>
      <c r="L55" s="49" t="str">
        <f t="shared" si="7"/>
        <v/>
      </c>
      <c r="M55" s="49" t="str">
        <f t="shared" si="7"/>
        <v/>
      </c>
      <c r="N55" s="49" t="str">
        <f t="shared" si="7"/>
        <v/>
      </c>
      <c r="O55" s="49" t="str">
        <f t="shared" si="7"/>
        <v/>
      </c>
      <c r="P55" s="49" t="str">
        <f t="shared" si="7"/>
        <v/>
      </c>
      <c r="Q55" s="43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</row>
    <row r="56" spans="1:30" ht="13.5" customHeight="1">
      <c r="A56" s="26"/>
      <c r="B56" s="26"/>
      <c r="C56" s="26"/>
      <c r="D56" s="48" t="str">
        <f>IF(Tracking!J20="","",IF(Person!$C$20="m",ABS((Tracking!J20/4-D$45)),ABS((Tracking!J20/4-D$48))))</f>
        <v/>
      </c>
      <c r="E56" s="48" t="str">
        <f>IF(Tracking!K20="","",IF(Person!$C$20="m",ABS((Tracking!K20/4-E$45)),ABS((Tracking!K20/4-E$48))))</f>
        <v/>
      </c>
      <c r="F56" s="48" t="str">
        <f>IF(Tracking!L20="","",IF(Person!$C$20="m",ABS((Tracking!L20/4-F$45)),ABS((Tracking!L20/4-F$48))))</f>
        <v/>
      </c>
      <c r="G56" s="48" t="str">
        <f>IF(Tracking!M20="","",IF(Person!$C$20="m",ABS((Tracking!M20/4-G$45)),ABS((Tracking!M20/4-G$48))))</f>
        <v/>
      </c>
      <c r="H56" s="48" t="str">
        <f>IF(Tracking!N20="","",IF(Person!$C$20="m",ABS((Tracking!N20/4-H$45)),ABS((Tracking!N20/4-H$48))))</f>
        <v/>
      </c>
      <c r="I56" s="48" t="str">
        <f>IF(Tracking!O20="","",IF(Person!$C$20="m",ABS((Tracking!O20/4-I$45)),ABS((Tracking!O20/4-I$48))))</f>
        <v/>
      </c>
      <c r="J56" s="48" t="str">
        <f>IF(Tracking!P20="","",IF(Person!$C$20="m",ABS((Tracking!P20/4-J$45)),ABS((Tracking!P20/4-J$48))))</f>
        <v/>
      </c>
      <c r="K56" s="48" t="str">
        <f>IF(Tracking!Q20="","",IF(Person!$C$20="m",ABS((Tracking!Q20/4-K$45)),ABS((Tracking!Q20/4-K$48))))</f>
        <v/>
      </c>
      <c r="L56" s="48" t="str">
        <f>IF(Tracking!R20="","",IF(Person!$C$20="m",ABS((Tracking!R20/4-L$45)),ABS((Tracking!R20/4-L$48))))</f>
        <v/>
      </c>
      <c r="M56" s="48" t="str">
        <f>IF(Tracking!S20="","",IF(Person!$C$20="m",ABS((Tracking!S20/4-M$45)),ABS((Tracking!S20/4-M$48))))</f>
        <v/>
      </c>
      <c r="N56" s="48" t="str">
        <f>IF(Tracking!T20="","",IF(Person!$C$20="m",ABS((Tracking!T20/4-N$45)),ABS((Tracking!T20/4-N$48))))</f>
        <v/>
      </c>
      <c r="O56" s="48" t="str">
        <f>IF(Tracking!U20="","",IF(Person!$C$20="m",ABS((Tracking!U20/4-O$45)),ABS((Tracking!U20/4-O$48))))</f>
        <v/>
      </c>
      <c r="P56" s="48" t="str">
        <f>IF(Tracking!V20="","",IF(Person!$C$20="m",ABS((Tracking!V20/4-P$45)),ABS((Tracking!V20/4-P$48))))</f>
        <v/>
      </c>
      <c r="Q56" s="43"/>
      <c r="R56" s="48" t="str">
        <f t="shared" ref="R56:AD56" si="8">IF(ISERROR(LARGE($D56:$P56,R$44)),"",LARGE($D56:$P56,R$44))</f>
        <v/>
      </c>
      <c r="S56" s="48" t="str">
        <f t="shared" si="8"/>
        <v/>
      </c>
      <c r="T56" s="48" t="str">
        <f t="shared" si="8"/>
        <v/>
      </c>
      <c r="U56" s="48" t="str">
        <f t="shared" si="8"/>
        <v/>
      </c>
      <c r="V56" s="48" t="str">
        <f t="shared" si="8"/>
        <v/>
      </c>
      <c r="W56" s="48" t="str">
        <f t="shared" si="8"/>
        <v/>
      </c>
      <c r="X56" s="48" t="str">
        <f t="shared" si="8"/>
        <v/>
      </c>
      <c r="Y56" s="48" t="str">
        <f t="shared" si="8"/>
        <v/>
      </c>
      <c r="Z56" s="48" t="str">
        <f t="shared" si="8"/>
        <v/>
      </c>
      <c r="AA56" s="48" t="str">
        <f t="shared" si="8"/>
        <v/>
      </c>
      <c r="AB56" s="48" t="str">
        <f t="shared" si="8"/>
        <v/>
      </c>
      <c r="AC56" s="48" t="str">
        <f t="shared" si="8"/>
        <v/>
      </c>
      <c r="AD56" s="48" t="str">
        <f t="shared" si="8"/>
        <v/>
      </c>
    </row>
    <row r="57" spans="1:30" ht="13.5" customHeight="1">
      <c r="A57" s="26"/>
      <c r="B57" s="26"/>
      <c r="C57" s="26"/>
      <c r="D57" s="49" t="str">
        <f t="shared" ref="D57:P57" si="9">IF(D56="","",IF(D56=$R56,1,IF(D56=$S56,2,IF(D56=$T56,3,IF(D56=$U56,4,IF(D56=$V56,5,IF(D56=$W56,6,IF(D56=$X56,7,IF(D56=$Y56,8,IF(D56=$Z56,9,IF(D56=$AA56,10,IF(D56=$AB56,11,IF(D56=$AC56,12,IF(D56=$AD56,13))))))))))))))</f>
        <v/>
      </c>
      <c r="E57" s="49" t="str">
        <f t="shared" si="9"/>
        <v/>
      </c>
      <c r="F57" s="49" t="str">
        <f t="shared" si="9"/>
        <v/>
      </c>
      <c r="G57" s="49" t="str">
        <f t="shared" si="9"/>
        <v/>
      </c>
      <c r="H57" s="49" t="str">
        <f t="shared" si="9"/>
        <v/>
      </c>
      <c r="I57" s="49" t="str">
        <f t="shared" si="9"/>
        <v/>
      </c>
      <c r="J57" s="49" t="str">
        <f t="shared" si="9"/>
        <v/>
      </c>
      <c r="K57" s="49" t="str">
        <f t="shared" si="9"/>
        <v/>
      </c>
      <c r="L57" s="49" t="str">
        <f t="shared" si="9"/>
        <v/>
      </c>
      <c r="M57" s="49" t="str">
        <f t="shared" si="9"/>
        <v/>
      </c>
      <c r="N57" s="49" t="str">
        <f t="shared" si="9"/>
        <v/>
      </c>
      <c r="O57" s="49" t="str">
        <f t="shared" si="9"/>
        <v/>
      </c>
      <c r="P57" s="49" t="str">
        <f t="shared" si="9"/>
        <v/>
      </c>
      <c r="Q57" s="43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</row>
    <row r="58" spans="1:30" ht="13.5" customHeight="1">
      <c r="A58" s="26"/>
      <c r="B58" s="26"/>
      <c r="C58" s="26"/>
      <c r="D58" s="48" t="str">
        <f>IF(Tracking!J22="","",IF(Person!$C$20="m",ABS((Tracking!J22/4-D$45)),ABS((Tracking!J22/4-D$48))))</f>
        <v/>
      </c>
      <c r="E58" s="48" t="str">
        <f>IF(Tracking!K22="","",IF(Person!$C$20="m",ABS((Tracking!K22/4-E$45)),ABS((Tracking!K22/4-E$48))))</f>
        <v/>
      </c>
      <c r="F58" s="48" t="str">
        <f>IF(Tracking!L22="","",IF(Person!$C$20="m",ABS((Tracking!L22/4-F$45)),ABS((Tracking!L22/4-F$48))))</f>
        <v/>
      </c>
      <c r="G58" s="48" t="str">
        <f>IF(Tracking!M22="","",IF(Person!$C$20="m",ABS((Tracking!M22/4-G$45)),ABS((Tracking!M22/4-G$48))))</f>
        <v/>
      </c>
      <c r="H58" s="48" t="str">
        <f>IF(Tracking!N22="","",IF(Person!$C$20="m",ABS((Tracking!N22/4-H$45)),ABS((Tracking!N22/4-H$48))))</f>
        <v/>
      </c>
      <c r="I58" s="48" t="str">
        <f>IF(Tracking!O22="","",IF(Person!$C$20="m",ABS((Tracking!O22/4-I$45)),ABS((Tracking!O22/4-I$48))))</f>
        <v/>
      </c>
      <c r="J58" s="48" t="str">
        <f>IF(Tracking!P22="","",IF(Person!$C$20="m",ABS((Tracking!P22/4-J$45)),ABS((Tracking!P22/4-J$48))))</f>
        <v/>
      </c>
      <c r="K58" s="48" t="str">
        <f>IF(Tracking!Q22="","",IF(Person!$C$20="m",ABS((Tracking!Q22/4-K$45)),ABS((Tracking!Q22/4-K$48))))</f>
        <v/>
      </c>
      <c r="L58" s="48" t="str">
        <f>IF(Tracking!R22="","",IF(Person!$C$20="m",ABS((Tracking!R22/4-L$45)),ABS((Tracking!R22/4-L$48))))</f>
        <v/>
      </c>
      <c r="M58" s="48" t="str">
        <f>IF(Tracking!S22="","",IF(Person!$C$20="m",ABS((Tracking!S22/4-M$45)),ABS((Tracking!S22/4-M$48))))</f>
        <v/>
      </c>
      <c r="N58" s="48" t="str">
        <f>IF(Tracking!T22="","",IF(Person!$C$20="m",ABS((Tracking!T22/4-N$45)),ABS((Tracking!T22/4-N$48))))</f>
        <v/>
      </c>
      <c r="O58" s="48" t="str">
        <f>IF(Tracking!U22="","",IF(Person!$C$20="m",ABS((Tracking!U22/4-O$45)),ABS((Tracking!U22/4-O$48))))</f>
        <v/>
      </c>
      <c r="P58" s="48" t="str">
        <f>IF(Tracking!V22="","",IF(Person!$C$20="m",ABS((Tracking!V22/4-P$45)),ABS((Tracking!V22/4-P$48))))</f>
        <v/>
      </c>
      <c r="Q58" s="43"/>
      <c r="R58" s="48" t="str">
        <f t="shared" ref="R58:AD58" si="10">IF(ISERROR(LARGE($D58:$P58,R$44)),"",LARGE($D58:$P58,R$44))</f>
        <v/>
      </c>
      <c r="S58" s="48" t="str">
        <f t="shared" si="10"/>
        <v/>
      </c>
      <c r="T58" s="48" t="str">
        <f t="shared" si="10"/>
        <v/>
      </c>
      <c r="U58" s="48" t="str">
        <f t="shared" si="10"/>
        <v/>
      </c>
      <c r="V58" s="48" t="str">
        <f t="shared" si="10"/>
        <v/>
      </c>
      <c r="W58" s="48" t="str">
        <f t="shared" si="10"/>
        <v/>
      </c>
      <c r="X58" s="48" t="str">
        <f t="shared" si="10"/>
        <v/>
      </c>
      <c r="Y58" s="48" t="str">
        <f t="shared" si="10"/>
        <v/>
      </c>
      <c r="Z58" s="48" t="str">
        <f t="shared" si="10"/>
        <v/>
      </c>
      <c r="AA58" s="48" t="str">
        <f t="shared" si="10"/>
        <v/>
      </c>
      <c r="AB58" s="48" t="str">
        <f t="shared" si="10"/>
        <v/>
      </c>
      <c r="AC58" s="48" t="str">
        <f t="shared" si="10"/>
        <v/>
      </c>
      <c r="AD58" s="48" t="str">
        <f t="shared" si="10"/>
        <v/>
      </c>
    </row>
    <row r="59" spans="1:30" ht="13.5" customHeight="1">
      <c r="A59" s="26"/>
      <c r="B59" s="26"/>
      <c r="C59" s="26"/>
      <c r="D59" s="49" t="str">
        <f t="shared" ref="D59:P59" si="11">IF(D58="","",IF(D58=$R58,1,IF(D58=$S58,2,IF(D58=$T58,3,IF(D58=$U58,4,IF(D58=$V58,5,IF(D58=$W58,6,IF(D58=$X58,7,IF(D58=$Y58,8,IF(D58=$Z58,9,IF(D58=$AA58,10,IF(D58=$AB58,11,IF(D58=$AC58,12,IF(D58=$AD58,13))))))))))))))</f>
        <v/>
      </c>
      <c r="E59" s="49" t="str">
        <f t="shared" si="11"/>
        <v/>
      </c>
      <c r="F59" s="49" t="str">
        <f t="shared" si="11"/>
        <v/>
      </c>
      <c r="G59" s="49" t="str">
        <f t="shared" si="11"/>
        <v/>
      </c>
      <c r="H59" s="49" t="str">
        <f t="shared" si="11"/>
        <v/>
      </c>
      <c r="I59" s="49" t="str">
        <f t="shared" si="11"/>
        <v/>
      </c>
      <c r="J59" s="49" t="str">
        <f t="shared" si="11"/>
        <v/>
      </c>
      <c r="K59" s="49" t="str">
        <f t="shared" si="11"/>
        <v/>
      </c>
      <c r="L59" s="49" t="str">
        <f t="shared" si="11"/>
        <v/>
      </c>
      <c r="M59" s="49" t="str">
        <f t="shared" si="11"/>
        <v/>
      </c>
      <c r="N59" s="49" t="str">
        <f t="shared" si="11"/>
        <v/>
      </c>
      <c r="O59" s="49" t="str">
        <f t="shared" si="11"/>
        <v/>
      </c>
      <c r="P59" s="49" t="str">
        <f t="shared" si="11"/>
        <v/>
      </c>
      <c r="Q59" s="43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</row>
    <row r="60" spans="1:30" ht="13.5" customHeight="1">
      <c r="A60" s="26"/>
      <c r="B60" s="26"/>
      <c r="C60" s="26"/>
      <c r="D60" s="48" t="str">
        <f>IF(Tracking!J24="","",IF(Person!$C$20="m",ABS((Tracking!J24/4-D$45)),ABS((Tracking!J24/4-D$48))))</f>
        <v/>
      </c>
      <c r="E60" s="48" t="str">
        <f>IF(Tracking!K24="","",IF(Person!$C$20="m",ABS((Tracking!K24/4-E$45)),ABS((Tracking!K24/4-E$48))))</f>
        <v/>
      </c>
      <c r="F60" s="48" t="str">
        <f>IF(Tracking!L24="","",IF(Person!$C$20="m",ABS((Tracking!L24/4-F$45)),ABS((Tracking!L24/4-F$48))))</f>
        <v/>
      </c>
      <c r="G60" s="48" t="str">
        <f>IF(Tracking!M24="","",IF(Person!$C$20="m",ABS((Tracking!M24/4-G$45)),ABS((Tracking!M24/4-G$48))))</f>
        <v/>
      </c>
      <c r="H60" s="48" t="str">
        <f>IF(Tracking!N24="","",IF(Person!$C$20="m",ABS((Tracking!N24/4-H$45)),ABS((Tracking!N24/4-H$48))))</f>
        <v/>
      </c>
      <c r="I60" s="48" t="str">
        <f>IF(Tracking!O24="","",IF(Person!$C$20="m",ABS((Tracking!O24/4-I$45)),ABS((Tracking!O24/4-I$48))))</f>
        <v/>
      </c>
      <c r="J60" s="48" t="str">
        <f>IF(Tracking!P24="","",IF(Person!$C$20="m",ABS((Tracking!P24/4-J$45)),ABS((Tracking!P24/4-J$48))))</f>
        <v/>
      </c>
      <c r="K60" s="48" t="str">
        <f>IF(Tracking!Q24="","",IF(Person!$C$20="m",ABS((Tracking!Q24/4-K$45)),ABS((Tracking!Q24/4-K$48))))</f>
        <v/>
      </c>
      <c r="L60" s="48" t="str">
        <f>IF(Tracking!R24="","",IF(Person!$C$20="m",ABS((Tracking!R24/4-L$45)),ABS((Tracking!R24/4-L$48))))</f>
        <v/>
      </c>
      <c r="M60" s="48" t="str">
        <f>IF(Tracking!S24="","",IF(Person!$C$20="m",ABS((Tracking!S24/4-M$45)),ABS((Tracking!S24/4-M$48))))</f>
        <v/>
      </c>
      <c r="N60" s="48" t="str">
        <f>IF(Tracking!T24="","",IF(Person!$C$20="m",ABS((Tracking!T24/4-N$45)),ABS((Tracking!T24/4-N$48))))</f>
        <v/>
      </c>
      <c r="O60" s="48" t="str">
        <f>IF(Tracking!U24="","",IF(Person!$C$20="m",ABS((Tracking!U24/4-O$45)),ABS((Tracking!U24/4-O$48))))</f>
        <v/>
      </c>
      <c r="P60" s="48" t="str">
        <f>IF(Tracking!V24="","",IF(Person!$C$20="m",ABS((Tracking!V24/4-P$45)),ABS((Tracking!V24/4-P$48))))</f>
        <v/>
      </c>
      <c r="Q60" s="43"/>
      <c r="R60" s="48" t="str">
        <f t="shared" ref="R60:AD60" si="12">IF(ISERROR(LARGE($D60:$P60,R$44)),"",LARGE($D60:$P60,R$44))</f>
        <v/>
      </c>
      <c r="S60" s="48" t="str">
        <f t="shared" si="12"/>
        <v/>
      </c>
      <c r="T60" s="48" t="str">
        <f t="shared" si="12"/>
        <v/>
      </c>
      <c r="U60" s="48" t="str">
        <f t="shared" si="12"/>
        <v/>
      </c>
      <c r="V60" s="48" t="str">
        <f t="shared" si="12"/>
        <v/>
      </c>
      <c r="W60" s="48" t="str">
        <f t="shared" si="12"/>
        <v/>
      </c>
      <c r="X60" s="48" t="str">
        <f t="shared" si="12"/>
        <v/>
      </c>
      <c r="Y60" s="48" t="str">
        <f t="shared" si="12"/>
        <v/>
      </c>
      <c r="Z60" s="48" t="str">
        <f t="shared" si="12"/>
        <v/>
      </c>
      <c r="AA60" s="48" t="str">
        <f t="shared" si="12"/>
        <v/>
      </c>
      <c r="AB60" s="48" t="str">
        <f t="shared" si="12"/>
        <v/>
      </c>
      <c r="AC60" s="48" t="str">
        <f t="shared" si="12"/>
        <v/>
      </c>
      <c r="AD60" s="48" t="str">
        <f t="shared" si="12"/>
        <v/>
      </c>
    </row>
    <row r="61" spans="1:30" ht="13.5" customHeight="1">
      <c r="A61" s="26"/>
      <c r="B61" s="26"/>
      <c r="C61" s="26"/>
      <c r="D61" s="49" t="str">
        <f t="shared" ref="D61:P61" si="13">IF(D60="","",IF(D60=$R60,1,IF(D60=$S60,2,IF(D60=$T60,3,IF(D60=$U60,4,IF(D60=$V60,5,IF(D60=$W60,6,IF(D60=$X60,7,IF(D60=$Y60,8,IF(D60=$Z60,9,IF(D60=$AA60,10,IF(D60=$AB60,11,IF(D60=$AC60,12,IF(D60=$AD60,13))))))))))))))</f>
        <v/>
      </c>
      <c r="E61" s="49" t="str">
        <f t="shared" si="13"/>
        <v/>
      </c>
      <c r="F61" s="49" t="str">
        <f t="shared" si="13"/>
        <v/>
      </c>
      <c r="G61" s="49" t="str">
        <f t="shared" si="13"/>
        <v/>
      </c>
      <c r="H61" s="49" t="str">
        <f t="shared" si="13"/>
        <v/>
      </c>
      <c r="I61" s="49" t="str">
        <f t="shared" si="13"/>
        <v/>
      </c>
      <c r="J61" s="49" t="str">
        <f t="shared" si="13"/>
        <v/>
      </c>
      <c r="K61" s="49" t="str">
        <f t="shared" si="13"/>
        <v/>
      </c>
      <c r="L61" s="49" t="str">
        <f t="shared" si="13"/>
        <v/>
      </c>
      <c r="M61" s="49" t="str">
        <f t="shared" si="13"/>
        <v/>
      </c>
      <c r="N61" s="49" t="str">
        <f t="shared" si="13"/>
        <v/>
      </c>
      <c r="O61" s="49" t="str">
        <f t="shared" si="13"/>
        <v/>
      </c>
      <c r="P61" s="49" t="str">
        <f t="shared" si="13"/>
        <v/>
      </c>
      <c r="Q61" s="43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</row>
    <row r="62" spans="1:30" ht="13.5" customHeight="1">
      <c r="A62" s="26"/>
      <c r="B62" s="26"/>
      <c r="C62" s="26"/>
      <c r="D62" s="48" t="str">
        <f>IF(Tracking!J26="","",IF(Person!$C$20="m",ABS((Tracking!J26/4-D$45)),ABS((Tracking!J26/4-D$48))))</f>
        <v/>
      </c>
      <c r="E62" s="48" t="str">
        <f>IF(Tracking!K26="","",IF(Person!$C$20="m",ABS((Tracking!K26/4-E$45)),ABS((Tracking!K26/4-E$48))))</f>
        <v/>
      </c>
      <c r="F62" s="48" t="str">
        <f>IF(Tracking!L26="","",IF(Person!$C$20="m",ABS((Tracking!L26/4-F$45)),ABS((Tracking!L26/4-F$48))))</f>
        <v/>
      </c>
      <c r="G62" s="48" t="str">
        <f>IF(Tracking!M26="","",IF(Person!$C$20="m",ABS((Tracking!M26/4-G$45)),ABS((Tracking!M26/4-G$48))))</f>
        <v/>
      </c>
      <c r="H62" s="48" t="str">
        <f>IF(Tracking!N26="","",IF(Person!$C$20="m",ABS((Tracking!N26/4-H$45)),ABS((Tracking!N26/4-H$48))))</f>
        <v/>
      </c>
      <c r="I62" s="48" t="str">
        <f>IF(Tracking!O26="","",IF(Person!$C$20="m",ABS((Tracking!O26/4-I$45)),ABS((Tracking!O26/4-I$48))))</f>
        <v/>
      </c>
      <c r="J62" s="48" t="str">
        <f>IF(Tracking!P26="","",IF(Person!$C$20="m",ABS((Tracking!P26/4-J$45)),ABS((Tracking!P26/4-J$48))))</f>
        <v/>
      </c>
      <c r="K62" s="48" t="str">
        <f>IF(Tracking!Q26="","",IF(Person!$C$20="m",ABS((Tracking!Q26/4-K$45)),ABS((Tracking!Q26/4-K$48))))</f>
        <v/>
      </c>
      <c r="L62" s="48" t="str">
        <f>IF(Tracking!R26="","",IF(Person!$C$20="m",ABS((Tracking!R26/4-L$45)),ABS((Tracking!R26/4-L$48))))</f>
        <v/>
      </c>
      <c r="M62" s="48" t="str">
        <f>IF(Tracking!S26="","",IF(Person!$C$20="m",ABS((Tracking!S26/4-M$45)),ABS((Tracking!S26/4-M$48))))</f>
        <v/>
      </c>
      <c r="N62" s="48" t="str">
        <f>IF(Tracking!T26="","",IF(Person!$C$20="m",ABS((Tracking!T26/4-N$45)),ABS((Tracking!T26/4-N$48))))</f>
        <v/>
      </c>
      <c r="O62" s="48" t="str">
        <f>IF(Tracking!U26="","",IF(Person!$C$20="m",ABS((Tracking!U26/4-O$45)),ABS((Tracking!U26/4-O$48))))</f>
        <v/>
      </c>
      <c r="P62" s="48" t="str">
        <f>IF(Tracking!V26="","",IF(Person!$C$20="m",ABS((Tracking!V26/4-P$45)),ABS((Tracking!V26/4-P$48))))</f>
        <v/>
      </c>
      <c r="Q62" s="43"/>
      <c r="R62" s="48" t="str">
        <f t="shared" ref="R62:AD62" si="14">IF(ISERROR(LARGE($D62:$P62,R$44)),"",LARGE($D62:$P62,R$44))</f>
        <v/>
      </c>
      <c r="S62" s="48" t="str">
        <f t="shared" si="14"/>
        <v/>
      </c>
      <c r="T62" s="48" t="str">
        <f t="shared" si="14"/>
        <v/>
      </c>
      <c r="U62" s="48" t="str">
        <f t="shared" si="14"/>
        <v/>
      </c>
      <c r="V62" s="48" t="str">
        <f t="shared" si="14"/>
        <v/>
      </c>
      <c r="W62" s="48" t="str">
        <f t="shared" si="14"/>
        <v/>
      </c>
      <c r="X62" s="48" t="str">
        <f t="shared" si="14"/>
        <v/>
      </c>
      <c r="Y62" s="48" t="str">
        <f t="shared" si="14"/>
        <v/>
      </c>
      <c r="Z62" s="48" t="str">
        <f t="shared" si="14"/>
        <v/>
      </c>
      <c r="AA62" s="48" t="str">
        <f t="shared" si="14"/>
        <v/>
      </c>
      <c r="AB62" s="48" t="str">
        <f t="shared" si="14"/>
        <v/>
      </c>
      <c r="AC62" s="48" t="str">
        <f t="shared" si="14"/>
        <v/>
      </c>
      <c r="AD62" s="48" t="str">
        <f t="shared" si="14"/>
        <v/>
      </c>
    </row>
    <row r="63" spans="1:30" ht="13.5" customHeight="1">
      <c r="A63" s="26"/>
      <c r="B63" s="26"/>
      <c r="C63" s="26"/>
      <c r="D63" s="49" t="str">
        <f t="shared" ref="D63:P63" si="15">IF(D62="","",IF(D62=$R62,1,IF(D62=$S62,2,IF(D62=$T62,3,IF(D62=$U62,4,IF(D62=$V62,5,IF(D62=$W62,6,IF(D62=$X62,7,IF(D62=$Y62,8,IF(D62=$Z62,9,IF(D62=$AA62,10,IF(D62=$AB62,11,IF(D62=$AC62,12,IF(D62=$AD62,13))))))))))))))</f>
        <v/>
      </c>
      <c r="E63" s="49" t="str">
        <f t="shared" si="15"/>
        <v/>
      </c>
      <c r="F63" s="49" t="str">
        <f t="shared" si="15"/>
        <v/>
      </c>
      <c r="G63" s="49" t="str">
        <f t="shared" si="15"/>
        <v/>
      </c>
      <c r="H63" s="49" t="str">
        <f t="shared" si="15"/>
        <v/>
      </c>
      <c r="I63" s="49" t="str">
        <f t="shared" si="15"/>
        <v/>
      </c>
      <c r="J63" s="49" t="str">
        <f t="shared" si="15"/>
        <v/>
      </c>
      <c r="K63" s="49" t="str">
        <f t="shared" si="15"/>
        <v/>
      </c>
      <c r="L63" s="49" t="str">
        <f t="shared" si="15"/>
        <v/>
      </c>
      <c r="M63" s="49" t="str">
        <f t="shared" si="15"/>
        <v/>
      </c>
      <c r="N63" s="49" t="str">
        <f t="shared" si="15"/>
        <v/>
      </c>
      <c r="O63" s="49" t="str">
        <f t="shared" si="15"/>
        <v/>
      </c>
      <c r="P63" s="49" t="str">
        <f t="shared" si="15"/>
        <v/>
      </c>
      <c r="Q63" s="43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</row>
    <row r="64" spans="1:30" ht="13.5" customHeight="1">
      <c r="A64" s="26"/>
      <c r="B64" s="26"/>
      <c r="C64" s="26"/>
      <c r="D64" s="48" t="str">
        <f>IF(Tracking!J28="","",IF(Person!$C$20="m",ABS((Tracking!J28/4-D$45)),ABS((Tracking!J28/4-D$48))))</f>
        <v/>
      </c>
      <c r="E64" s="48" t="str">
        <f>IF(Tracking!K28="","",IF(Person!$C$20="m",ABS((Tracking!K28/4-E$45)),ABS((Tracking!K28/4-E$48))))</f>
        <v/>
      </c>
      <c r="F64" s="48" t="str">
        <f>IF(Tracking!L28="","",IF(Person!$C$20="m",ABS((Tracking!L28/4-F$45)),ABS((Tracking!L28/4-F$48))))</f>
        <v/>
      </c>
      <c r="G64" s="48" t="str">
        <f>IF(Tracking!M28="","",IF(Person!$C$20="m",ABS((Tracking!M28/4-G$45)),ABS((Tracking!M28/4-G$48))))</f>
        <v/>
      </c>
      <c r="H64" s="48" t="str">
        <f>IF(Tracking!N28="","",IF(Person!$C$20="m",ABS((Tracking!N28/4-H$45)),ABS((Tracking!N28/4-H$48))))</f>
        <v/>
      </c>
      <c r="I64" s="48" t="str">
        <f>IF(Tracking!O28="","",IF(Person!$C$20="m",ABS((Tracking!O28/4-I$45)),ABS((Tracking!O28/4-I$48))))</f>
        <v/>
      </c>
      <c r="J64" s="48" t="str">
        <f>IF(Tracking!P28="","",IF(Person!$C$20="m",ABS((Tracking!P28/4-J$45)),ABS((Tracking!P28/4-J$48))))</f>
        <v/>
      </c>
      <c r="K64" s="48" t="str">
        <f>IF(Tracking!Q28="","",IF(Person!$C$20="m",ABS((Tracking!Q28/4-K$45)),ABS((Tracking!Q28/4-K$48))))</f>
        <v/>
      </c>
      <c r="L64" s="48" t="str">
        <f>IF(Tracking!R28="","",IF(Person!$C$20="m",ABS((Tracking!R28/4-L$45)),ABS((Tracking!R28/4-L$48))))</f>
        <v/>
      </c>
      <c r="M64" s="48" t="str">
        <f>IF(Tracking!S28="","",IF(Person!$C$20="m",ABS((Tracking!S28/4-M$45)),ABS((Tracking!S28/4-M$48))))</f>
        <v/>
      </c>
      <c r="N64" s="48" t="str">
        <f>IF(Tracking!T28="","",IF(Person!$C$20="m",ABS((Tracking!T28/4-N$45)),ABS((Tracking!T28/4-N$48))))</f>
        <v/>
      </c>
      <c r="O64" s="48" t="str">
        <f>IF(Tracking!U28="","",IF(Person!$C$20="m",ABS((Tracking!U28/4-O$45)),ABS((Tracking!U28/4-O$48))))</f>
        <v/>
      </c>
      <c r="P64" s="48" t="str">
        <f>IF(Tracking!V28="","",IF(Person!$C$20="m",ABS((Tracking!V28/4-P$45)),ABS((Tracking!V28/4-P$48))))</f>
        <v/>
      </c>
      <c r="Q64" s="43"/>
      <c r="R64" s="48" t="str">
        <f t="shared" ref="R64:AD64" si="16">IF(ISERROR(LARGE($D64:$P64,R$44)),"",LARGE($D64:$P64,R$44))</f>
        <v/>
      </c>
      <c r="S64" s="48" t="str">
        <f t="shared" si="16"/>
        <v/>
      </c>
      <c r="T64" s="48" t="str">
        <f t="shared" si="16"/>
        <v/>
      </c>
      <c r="U64" s="48" t="str">
        <f t="shared" si="16"/>
        <v/>
      </c>
      <c r="V64" s="48" t="str">
        <f t="shared" si="16"/>
        <v/>
      </c>
      <c r="W64" s="48" t="str">
        <f t="shared" si="16"/>
        <v/>
      </c>
      <c r="X64" s="48" t="str">
        <f t="shared" si="16"/>
        <v/>
      </c>
      <c r="Y64" s="48" t="str">
        <f t="shared" si="16"/>
        <v/>
      </c>
      <c r="Z64" s="48" t="str">
        <f t="shared" si="16"/>
        <v/>
      </c>
      <c r="AA64" s="48" t="str">
        <f t="shared" si="16"/>
        <v/>
      </c>
      <c r="AB64" s="48" t="str">
        <f t="shared" si="16"/>
        <v/>
      </c>
      <c r="AC64" s="48" t="str">
        <f t="shared" si="16"/>
        <v/>
      </c>
      <c r="AD64" s="48" t="str">
        <f t="shared" si="16"/>
        <v/>
      </c>
    </row>
    <row r="65" spans="1:30" ht="13.5" customHeight="1">
      <c r="A65" s="26"/>
      <c r="B65" s="26"/>
      <c r="C65" s="26"/>
      <c r="D65" s="49" t="str">
        <f t="shared" ref="D65:P65" si="17">IF(D64="","",IF(D64=$R64,1,IF(D64=$S64,2,IF(D64=$T64,3,IF(D64=$U64,4,IF(D64=$V64,5,IF(D64=$W64,6,IF(D64=$X64,7,IF(D64=$Y64,8,IF(D64=$Z64,9,IF(D64=$AA64,10,IF(D64=$AB64,11,IF(D64=$AC64,12,IF(D64=$AD64,13))))))))))))))</f>
        <v/>
      </c>
      <c r="E65" s="49" t="str">
        <f t="shared" si="17"/>
        <v/>
      </c>
      <c r="F65" s="49" t="str">
        <f t="shared" si="17"/>
        <v/>
      </c>
      <c r="G65" s="49" t="str">
        <f t="shared" si="17"/>
        <v/>
      </c>
      <c r="H65" s="49" t="str">
        <f t="shared" si="17"/>
        <v/>
      </c>
      <c r="I65" s="49" t="str">
        <f t="shared" si="17"/>
        <v/>
      </c>
      <c r="J65" s="49" t="str">
        <f t="shared" si="17"/>
        <v/>
      </c>
      <c r="K65" s="49" t="str">
        <f t="shared" si="17"/>
        <v/>
      </c>
      <c r="L65" s="49" t="str">
        <f t="shared" si="17"/>
        <v/>
      </c>
      <c r="M65" s="49" t="str">
        <f t="shared" si="17"/>
        <v/>
      </c>
      <c r="N65" s="49" t="str">
        <f t="shared" si="17"/>
        <v/>
      </c>
      <c r="O65" s="49" t="str">
        <f t="shared" si="17"/>
        <v/>
      </c>
      <c r="P65" s="49" t="str">
        <f t="shared" si="17"/>
        <v/>
      </c>
      <c r="Q65" s="43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</row>
    <row r="66" spans="1:30" ht="13.5" customHeight="1">
      <c r="A66" s="26"/>
      <c r="B66" s="26"/>
      <c r="C66" s="26"/>
      <c r="D66" s="48" t="str">
        <f>IF(Tracking!J30="","",IF(Person!$C$20="m",ABS((Tracking!J30/4-D$45)),ABS((Tracking!J30/4-D$48))))</f>
        <v/>
      </c>
      <c r="E66" s="48" t="str">
        <f>IF(Tracking!K30="","",IF(Person!$C$20="m",ABS((Tracking!K30/4-E$45)),ABS((Tracking!K30/4-E$48))))</f>
        <v/>
      </c>
      <c r="F66" s="48" t="str">
        <f>IF(Tracking!L30="","",IF(Person!$C$20="m",ABS((Tracking!L30/4-F$45)),ABS((Tracking!L30/4-F$48))))</f>
        <v/>
      </c>
      <c r="G66" s="48" t="str">
        <f>IF(Tracking!M30="","",IF(Person!$C$20="m",ABS((Tracking!M30/4-G$45)),ABS((Tracking!M30/4-G$48))))</f>
        <v/>
      </c>
      <c r="H66" s="48" t="str">
        <f>IF(Tracking!N30="","",IF(Person!$C$20="m",ABS((Tracking!N30/4-H$45)),ABS((Tracking!N30/4-H$48))))</f>
        <v/>
      </c>
      <c r="I66" s="48" t="str">
        <f>IF(Tracking!O30="","",IF(Person!$C$20="m",ABS((Tracking!O30/4-I$45)),ABS((Tracking!O30/4-I$48))))</f>
        <v/>
      </c>
      <c r="J66" s="48" t="str">
        <f>IF(Tracking!P30="","",IF(Person!$C$20="m",ABS((Tracking!P30/4-J$45)),ABS((Tracking!P30/4-J$48))))</f>
        <v/>
      </c>
      <c r="K66" s="48" t="str">
        <f>IF(Tracking!Q30="","",IF(Person!$C$20="m",ABS((Tracking!Q30/4-K$45)),ABS((Tracking!Q30/4-K$48))))</f>
        <v/>
      </c>
      <c r="L66" s="48" t="str">
        <f>IF(Tracking!R30="","",IF(Person!$C$20="m",ABS((Tracking!R30/4-L$45)),ABS((Tracking!R30/4-L$48))))</f>
        <v/>
      </c>
      <c r="M66" s="48" t="str">
        <f>IF(Tracking!S30="","",IF(Person!$C$20="m",ABS((Tracking!S30/4-M$45)),ABS((Tracking!S30/4-M$48))))</f>
        <v/>
      </c>
      <c r="N66" s="48" t="str">
        <f>IF(Tracking!T30="","",IF(Person!$C$20="m",ABS((Tracking!T30/4-N$45)),ABS((Tracking!T30/4-N$48))))</f>
        <v/>
      </c>
      <c r="O66" s="48" t="str">
        <f>IF(Tracking!U30="","",IF(Person!$C$20="m",ABS((Tracking!U30/4-O$45)),ABS((Tracking!U30/4-O$48))))</f>
        <v/>
      </c>
      <c r="P66" s="48" t="str">
        <f>IF(Tracking!V30="","",IF(Person!$C$20="m",ABS((Tracking!V30/4-P$45)),ABS((Tracking!V30/4-P$48))))</f>
        <v/>
      </c>
      <c r="Q66" s="43"/>
      <c r="R66" s="48" t="str">
        <f t="shared" ref="R66:AD66" si="18">IF(ISERROR(LARGE($D66:$P66,R$44)),"",LARGE($D66:$P66,R$44))</f>
        <v/>
      </c>
      <c r="S66" s="48" t="str">
        <f t="shared" si="18"/>
        <v/>
      </c>
      <c r="T66" s="48" t="str">
        <f t="shared" si="18"/>
        <v/>
      </c>
      <c r="U66" s="48" t="str">
        <f t="shared" si="18"/>
        <v/>
      </c>
      <c r="V66" s="48" t="str">
        <f t="shared" si="18"/>
        <v/>
      </c>
      <c r="W66" s="48" t="str">
        <f t="shared" si="18"/>
        <v/>
      </c>
      <c r="X66" s="48" t="str">
        <f t="shared" si="18"/>
        <v/>
      </c>
      <c r="Y66" s="48" t="str">
        <f t="shared" si="18"/>
        <v/>
      </c>
      <c r="Z66" s="48" t="str">
        <f t="shared" si="18"/>
        <v/>
      </c>
      <c r="AA66" s="48" t="str">
        <f t="shared" si="18"/>
        <v/>
      </c>
      <c r="AB66" s="48" t="str">
        <f t="shared" si="18"/>
        <v/>
      </c>
      <c r="AC66" s="48" t="str">
        <f t="shared" si="18"/>
        <v/>
      </c>
      <c r="AD66" s="48" t="str">
        <f t="shared" si="18"/>
        <v/>
      </c>
    </row>
    <row r="67" spans="1:30" ht="13.5" customHeight="1">
      <c r="A67" s="26"/>
      <c r="B67" s="26"/>
      <c r="C67" s="26"/>
      <c r="D67" s="49" t="str">
        <f t="shared" ref="D67:P67" si="19">IF(D66="","",IF(D66=$R66,1,IF(D66=$S66,2,IF(D66=$T66,3,IF(D66=$U66,4,IF(D66=$V66,5,IF(D66=$W66,6,IF(D66=$X66,7,IF(D66=$Y66,8,IF(D66=$Z66,9,IF(D66=$AA66,10,IF(D66=$AB66,11,IF(D66=$AC66,12,IF(D66=$AD66,13))))))))))))))</f>
        <v/>
      </c>
      <c r="E67" s="49" t="str">
        <f t="shared" si="19"/>
        <v/>
      </c>
      <c r="F67" s="49" t="str">
        <f t="shared" si="19"/>
        <v/>
      </c>
      <c r="G67" s="49" t="str">
        <f t="shared" si="19"/>
        <v/>
      </c>
      <c r="H67" s="49" t="str">
        <f t="shared" si="19"/>
        <v/>
      </c>
      <c r="I67" s="49" t="str">
        <f t="shared" si="19"/>
        <v/>
      </c>
      <c r="J67" s="49" t="str">
        <f t="shared" si="19"/>
        <v/>
      </c>
      <c r="K67" s="49" t="str">
        <f t="shared" si="19"/>
        <v/>
      </c>
      <c r="L67" s="49" t="str">
        <f t="shared" si="19"/>
        <v/>
      </c>
      <c r="M67" s="49" t="str">
        <f t="shared" si="19"/>
        <v/>
      </c>
      <c r="N67" s="49" t="str">
        <f t="shared" si="19"/>
        <v/>
      </c>
      <c r="O67" s="49" t="str">
        <f t="shared" si="19"/>
        <v/>
      </c>
      <c r="P67" s="49" t="str">
        <f t="shared" si="19"/>
        <v/>
      </c>
      <c r="Q67" s="43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</row>
    <row r="68" spans="1:30" ht="13.5" customHeight="1">
      <c r="A68" s="26"/>
      <c r="B68" s="26"/>
      <c r="C68" s="26"/>
      <c r="D68" s="48" t="str">
        <f>IF(Tracking!J32="","",IF(Person!$C$20="m",ABS((Tracking!J32/4-D$45)),ABS((Tracking!J32/4-D$48))))</f>
        <v/>
      </c>
      <c r="E68" s="48" t="str">
        <f>IF(Tracking!K32="","",IF(Person!$C$20="m",ABS((Tracking!K32/4-E$45)),ABS((Tracking!K32/4-E$48))))</f>
        <v/>
      </c>
      <c r="F68" s="48" t="str">
        <f>IF(Tracking!L32="","",IF(Person!$C$20="m",ABS((Tracking!L32/4-F$45)),ABS((Tracking!L32/4-F$48))))</f>
        <v/>
      </c>
      <c r="G68" s="48" t="str">
        <f>IF(Tracking!M32="","",IF(Person!$C$20="m",ABS((Tracking!M32/4-G$45)),ABS((Tracking!M32/4-G$48))))</f>
        <v/>
      </c>
      <c r="H68" s="48" t="str">
        <f>IF(Tracking!N32="","",IF(Person!$C$20="m",ABS((Tracking!N32/4-H$45)),ABS((Tracking!N32/4-H$48))))</f>
        <v/>
      </c>
      <c r="I68" s="48" t="str">
        <f>IF(Tracking!O32="","",IF(Person!$C$20="m",ABS((Tracking!O32/4-I$45)),ABS((Tracking!O32/4-I$48))))</f>
        <v/>
      </c>
      <c r="J68" s="48" t="str">
        <f>IF(Tracking!P32="","",IF(Person!$C$20="m",ABS((Tracking!P32/4-J$45)),ABS((Tracking!P32/4-J$48))))</f>
        <v/>
      </c>
      <c r="K68" s="48" t="str">
        <f>IF(Tracking!Q32="","",IF(Person!$C$20="m",ABS((Tracking!Q32/4-K$45)),ABS((Tracking!Q32/4-K$48))))</f>
        <v/>
      </c>
      <c r="L68" s="48" t="str">
        <f>IF(Tracking!R32="","",IF(Person!$C$20="m",ABS((Tracking!R32/4-L$45)),ABS((Tracking!R32/4-L$48))))</f>
        <v/>
      </c>
      <c r="M68" s="48" t="str">
        <f>IF(Tracking!S32="","",IF(Person!$C$20="m",ABS((Tracking!S32/4-M$45)),ABS((Tracking!S32/4-M$48))))</f>
        <v/>
      </c>
      <c r="N68" s="48" t="str">
        <f>IF(Tracking!T32="","",IF(Person!$C$20="m",ABS((Tracking!T32/4-N$45)),ABS((Tracking!T32/4-N$48))))</f>
        <v/>
      </c>
      <c r="O68" s="48" t="str">
        <f>IF(Tracking!U32="","",IF(Person!$C$20="m",ABS((Tracking!U32/4-O$45)),ABS((Tracking!U32/4-O$48))))</f>
        <v/>
      </c>
      <c r="P68" s="48" t="str">
        <f>IF(Tracking!V32="","",IF(Person!$C$20="m",ABS((Tracking!V32/4-P$45)),ABS((Tracking!V32/4-P$48))))</f>
        <v/>
      </c>
      <c r="Q68" s="43"/>
      <c r="R68" s="48" t="str">
        <f t="shared" ref="R68:AD68" si="20">IF(ISERROR(LARGE($D68:$P68,R$44)),"",LARGE($D68:$P68,R$44))</f>
        <v/>
      </c>
      <c r="S68" s="48" t="str">
        <f t="shared" si="20"/>
        <v/>
      </c>
      <c r="T68" s="48" t="str">
        <f t="shared" si="20"/>
        <v/>
      </c>
      <c r="U68" s="48" t="str">
        <f t="shared" si="20"/>
        <v/>
      </c>
      <c r="V68" s="48" t="str">
        <f t="shared" si="20"/>
        <v/>
      </c>
      <c r="W68" s="48" t="str">
        <f t="shared" si="20"/>
        <v/>
      </c>
      <c r="X68" s="48" t="str">
        <f t="shared" si="20"/>
        <v/>
      </c>
      <c r="Y68" s="48" t="str">
        <f t="shared" si="20"/>
        <v/>
      </c>
      <c r="Z68" s="48" t="str">
        <f t="shared" si="20"/>
        <v/>
      </c>
      <c r="AA68" s="48" t="str">
        <f t="shared" si="20"/>
        <v/>
      </c>
      <c r="AB68" s="48" t="str">
        <f t="shared" si="20"/>
        <v/>
      </c>
      <c r="AC68" s="48" t="str">
        <f t="shared" si="20"/>
        <v/>
      </c>
      <c r="AD68" s="48" t="str">
        <f t="shared" si="20"/>
        <v/>
      </c>
    </row>
    <row r="69" spans="1:30" ht="13.5" customHeight="1">
      <c r="A69" s="26"/>
      <c r="B69" s="26"/>
      <c r="C69" s="26"/>
      <c r="D69" s="49" t="str">
        <f t="shared" ref="D69:P69" si="21">IF(D68="","",IF(D68=$R68,1,IF(D68=$S68,2,IF(D68=$T68,3,IF(D68=$U68,4,IF(D68=$V68,5,IF(D68=$W68,6,IF(D68=$X68,7,IF(D68=$Y68,8,IF(D68=$Z68,9,IF(D68=$AA68,10,IF(D68=$AB68,11,IF(D68=$AC68,12,IF(D68=$AD68,13))))))))))))))</f>
        <v/>
      </c>
      <c r="E69" s="49" t="str">
        <f t="shared" si="21"/>
        <v/>
      </c>
      <c r="F69" s="49" t="str">
        <f t="shared" si="21"/>
        <v/>
      </c>
      <c r="G69" s="49" t="str">
        <f t="shared" si="21"/>
        <v/>
      </c>
      <c r="H69" s="49" t="str">
        <f t="shared" si="21"/>
        <v/>
      </c>
      <c r="I69" s="49" t="str">
        <f t="shared" si="21"/>
        <v/>
      </c>
      <c r="J69" s="49" t="str">
        <f t="shared" si="21"/>
        <v/>
      </c>
      <c r="K69" s="49" t="str">
        <f t="shared" si="21"/>
        <v/>
      </c>
      <c r="L69" s="49" t="str">
        <f t="shared" si="21"/>
        <v/>
      </c>
      <c r="M69" s="49" t="str">
        <f t="shared" si="21"/>
        <v/>
      </c>
      <c r="N69" s="49" t="str">
        <f t="shared" si="21"/>
        <v/>
      </c>
      <c r="O69" s="49" t="str">
        <f t="shared" si="21"/>
        <v/>
      </c>
      <c r="P69" s="49" t="str">
        <f t="shared" si="21"/>
        <v/>
      </c>
      <c r="Q69" s="43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</row>
    <row r="70" spans="1:30" ht="13.5" customHeight="1">
      <c r="A70" s="26"/>
      <c r="B70" s="26"/>
      <c r="C70" s="26"/>
      <c r="D70" s="48" t="str">
        <f>IF(Tracking!J34="","",IF(Person!$C$20="m",ABS((Tracking!J34/4-D$45)),ABS((Tracking!J34/4-D$48))))</f>
        <v/>
      </c>
      <c r="E70" s="48" t="str">
        <f>IF(Tracking!K34="","",IF(Person!$C$20="m",ABS((Tracking!K34/4-E$45)),ABS((Tracking!K34/4-E$48))))</f>
        <v/>
      </c>
      <c r="F70" s="48" t="str">
        <f>IF(Tracking!L34="","",IF(Person!$C$20="m",ABS((Tracking!L34/4-F$45)),ABS((Tracking!L34/4-F$48))))</f>
        <v/>
      </c>
      <c r="G70" s="48" t="str">
        <f>IF(Tracking!M34="","",IF(Person!$C$20="m",ABS((Tracking!M34/4-G$45)),ABS((Tracking!M34/4-G$48))))</f>
        <v/>
      </c>
      <c r="H70" s="48" t="str">
        <f>IF(Tracking!N34="","",IF(Person!$C$20="m",ABS((Tracking!N34/4-H$45)),ABS((Tracking!N34/4-H$48))))</f>
        <v/>
      </c>
      <c r="I70" s="48" t="str">
        <f>IF(Tracking!O34="","",IF(Person!$C$20="m",ABS((Tracking!O34/4-I$45)),ABS((Tracking!O34/4-I$48))))</f>
        <v/>
      </c>
      <c r="J70" s="48" t="str">
        <f>IF(Tracking!P34="","",IF(Person!$C$20="m",ABS((Tracking!P34/4-J$45)),ABS((Tracking!P34/4-J$48))))</f>
        <v/>
      </c>
      <c r="K70" s="48" t="str">
        <f>IF(Tracking!Q34="","",IF(Person!$C$20="m",ABS((Tracking!Q34/4-K$45)),ABS((Tracking!Q34/4-K$48))))</f>
        <v/>
      </c>
      <c r="L70" s="48" t="str">
        <f>IF(Tracking!R34="","",IF(Person!$C$20="m",ABS((Tracking!R34/4-L$45)),ABS((Tracking!R34/4-L$48))))</f>
        <v/>
      </c>
      <c r="M70" s="48" t="str">
        <f>IF(Tracking!S34="","",IF(Person!$C$20="m",ABS((Tracking!S34/4-M$45)),ABS((Tracking!S34/4-M$48))))</f>
        <v/>
      </c>
      <c r="N70" s="48" t="str">
        <f>IF(Tracking!T34="","",IF(Person!$C$20="m",ABS((Tracking!T34/4-N$45)),ABS((Tracking!T34/4-N$48))))</f>
        <v/>
      </c>
      <c r="O70" s="48" t="str">
        <f>IF(Tracking!U34="","",IF(Person!$C$20="m",ABS((Tracking!U34/4-O$45)),ABS((Tracking!U34/4-O$48))))</f>
        <v/>
      </c>
      <c r="P70" s="48" t="str">
        <f>IF(Tracking!V34="","",IF(Person!$C$20="m",ABS((Tracking!V34/4-P$45)),ABS((Tracking!V34/4-P$48))))</f>
        <v/>
      </c>
      <c r="Q70" s="43"/>
      <c r="R70" s="48" t="str">
        <f t="shared" ref="R70:AD70" si="22">IF(ISERROR(LARGE($D70:$P70,R$44)),"",LARGE($D70:$P70,R$44))</f>
        <v/>
      </c>
      <c r="S70" s="48" t="str">
        <f t="shared" si="22"/>
        <v/>
      </c>
      <c r="T70" s="48" t="str">
        <f t="shared" si="22"/>
        <v/>
      </c>
      <c r="U70" s="48" t="str">
        <f t="shared" si="22"/>
        <v/>
      </c>
      <c r="V70" s="48" t="str">
        <f t="shared" si="22"/>
        <v/>
      </c>
      <c r="W70" s="48" t="str">
        <f t="shared" si="22"/>
        <v/>
      </c>
      <c r="X70" s="48" t="str">
        <f t="shared" si="22"/>
        <v/>
      </c>
      <c r="Y70" s="48" t="str">
        <f t="shared" si="22"/>
        <v/>
      </c>
      <c r="Z70" s="48" t="str">
        <f t="shared" si="22"/>
        <v/>
      </c>
      <c r="AA70" s="48" t="str">
        <f t="shared" si="22"/>
        <v/>
      </c>
      <c r="AB70" s="48" t="str">
        <f t="shared" si="22"/>
        <v/>
      </c>
      <c r="AC70" s="48" t="str">
        <f t="shared" si="22"/>
        <v/>
      </c>
      <c r="AD70" s="48" t="str">
        <f t="shared" si="22"/>
        <v/>
      </c>
    </row>
    <row r="71" spans="1:30" ht="13.5" customHeight="1">
      <c r="A71" s="26"/>
      <c r="B71" s="26"/>
      <c r="C71" s="26"/>
      <c r="D71" s="49" t="str">
        <f t="shared" ref="D71:P71" si="23">IF(D70="","",IF(D70=$R70,1,IF(D70=$S70,2,IF(D70=$T70,3,IF(D70=$U70,4,IF(D70=$V70,5,IF(D70=$W70,6,IF(D70=$X70,7,IF(D70=$Y70,8,IF(D70=$Z70,9,IF(D70=$AA70,10,IF(D70=$AB70,11,IF(D70=$AC70,12,IF(D70=$AD70,13))))))))))))))</f>
        <v/>
      </c>
      <c r="E71" s="49" t="str">
        <f t="shared" si="23"/>
        <v/>
      </c>
      <c r="F71" s="49" t="str">
        <f t="shared" si="23"/>
        <v/>
      </c>
      <c r="G71" s="49" t="str">
        <f t="shared" si="23"/>
        <v/>
      </c>
      <c r="H71" s="49" t="str">
        <f t="shared" si="23"/>
        <v/>
      </c>
      <c r="I71" s="49" t="str">
        <f t="shared" si="23"/>
        <v/>
      </c>
      <c r="J71" s="49" t="str">
        <f t="shared" si="23"/>
        <v/>
      </c>
      <c r="K71" s="49" t="str">
        <f t="shared" si="23"/>
        <v/>
      </c>
      <c r="L71" s="49" t="str">
        <f t="shared" si="23"/>
        <v/>
      </c>
      <c r="M71" s="49" t="str">
        <f t="shared" si="23"/>
        <v/>
      </c>
      <c r="N71" s="49" t="str">
        <f t="shared" si="23"/>
        <v/>
      </c>
      <c r="O71" s="49" t="str">
        <f t="shared" si="23"/>
        <v/>
      </c>
      <c r="P71" s="49" t="str">
        <f t="shared" si="23"/>
        <v/>
      </c>
      <c r="Q71" s="43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</row>
    <row r="72" spans="1:30" ht="13.5" customHeight="1">
      <c r="A72" s="26"/>
      <c r="B72" s="26"/>
      <c r="C72" s="26"/>
      <c r="D72" s="48" t="str">
        <f>IF(Tracking!J36="","",IF(Person!$C$20="m",ABS((Tracking!J36/4-D$45)),ABS((Tracking!J36/4-D$48))))</f>
        <v/>
      </c>
      <c r="E72" s="48" t="str">
        <f>IF(Tracking!K36="","",IF(Person!$C$20="m",ABS((Tracking!K36/4-E$45)),ABS((Tracking!K36/4-E$48))))</f>
        <v/>
      </c>
      <c r="F72" s="48" t="str">
        <f>IF(Tracking!L36="","",IF(Person!$C$20="m",ABS((Tracking!L36/4-F$45)),ABS((Tracking!L36/4-F$48))))</f>
        <v/>
      </c>
      <c r="G72" s="48" t="str">
        <f>IF(Tracking!M36="","",IF(Person!$C$20="m",ABS((Tracking!M36/4-G$45)),ABS((Tracking!M36/4-G$48))))</f>
        <v/>
      </c>
      <c r="H72" s="48" t="str">
        <f>IF(Tracking!N36="","",IF(Person!$C$20="m",ABS((Tracking!N36/4-H$45)),ABS((Tracking!N36/4-H$48))))</f>
        <v/>
      </c>
      <c r="I72" s="48" t="str">
        <f>IF(Tracking!O36="","",IF(Person!$C$20="m",ABS((Tracking!O36/4-I$45)),ABS((Tracking!O36/4-I$48))))</f>
        <v/>
      </c>
      <c r="J72" s="48" t="str">
        <f>IF(Tracking!P36="","",IF(Person!$C$20="m",ABS((Tracking!P36/4-J$45)),ABS((Tracking!P36/4-J$48))))</f>
        <v/>
      </c>
      <c r="K72" s="48" t="str">
        <f>IF(Tracking!Q36="","",IF(Person!$C$20="m",ABS((Tracking!Q36/4-K$45)),ABS((Tracking!Q36/4-K$48))))</f>
        <v/>
      </c>
      <c r="L72" s="48" t="str">
        <f>IF(Tracking!R36="","",IF(Person!$C$20="m",ABS((Tracking!R36/4-L$45)),ABS((Tracking!R36/4-L$48))))</f>
        <v/>
      </c>
      <c r="M72" s="48" t="str">
        <f>IF(Tracking!S36="","",IF(Person!$C$20="m",ABS((Tracking!S36/4-M$45)),ABS((Tracking!S36/4-M$48))))</f>
        <v/>
      </c>
      <c r="N72" s="48" t="str">
        <f>IF(Tracking!T36="","",IF(Person!$C$20="m",ABS((Tracking!T36/4-N$45)),ABS((Tracking!T36/4-N$48))))</f>
        <v/>
      </c>
      <c r="O72" s="48" t="str">
        <f>IF(Tracking!U36="","",IF(Person!$C$20="m",ABS((Tracking!U36/4-O$45)),ABS((Tracking!U36/4-O$48))))</f>
        <v/>
      </c>
      <c r="P72" s="48" t="str">
        <f>IF(Tracking!V36="","",IF(Person!$C$20="m",ABS((Tracking!V36/4-P$45)),ABS((Tracking!V36/4-P$48))))</f>
        <v/>
      </c>
      <c r="Q72" s="43"/>
      <c r="R72" s="48" t="str">
        <f t="shared" ref="R72:AD72" si="24">IF(ISERROR(LARGE($D72:$P72,R$44)),"",LARGE($D72:$P72,R$44))</f>
        <v/>
      </c>
      <c r="S72" s="48" t="str">
        <f t="shared" si="24"/>
        <v/>
      </c>
      <c r="T72" s="48" t="str">
        <f t="shared" si="24"/>
        <v/>
      </c>
      <c r="U72" s="48" t="str">
        <f t="shared" si="24"/>
        <v/>
      </c>
      <c r="V72" s="48" t="str">
        <f t="shared" si="24"/>
        <v/>
      </c>
      <c r="W72" s="48" t="str">
        <f t="shared" si="24"/>
        <v/>
      </c>
      <c r="X72" s="48" t="str">
        <f t="shared" si="24"/>
        <v/>
      </c>
      <c r="Y72" s="48" t="str">
        <f t="shared" si="24"/>
        <v/>
      </c>
      <c r="Z72" s="48" t="str">
        <f t="shared" si="24"/>
        <v/>
      </c>
      <c r="AA72" s="48" t="str">
        <f t="shared" si="24"/>
        <v/>
      </c>
      <c r="AB72" s="48" t="str">
        <f t="shared" si="24"/>
        <v/>
      </c>
      <c r="AC72" s="48" t="str">
        <f t="shared" si="24"/>
        <v/>
      </c>
      <c r="AD72" s="48" t="str">
        <f t="shared" si="24"/>
        <v/>
      </c>
    </row>
    <row r="73" spans="1:30" ht="13.5" customHeight="1">
      <c r="A73" s="26"/>
      <c r="B73" s="26"/>
      <c r="C73" s="26"/>
      <c r="D73" s="49" t="str">
        <f t="shared" ref="D73:P73" si="25">IF(D72="","",IF(D72=$R72,1,IF(D72=$S72,2,IF(D72=$T72,3,IF(D72=$U72,4,IF(D72=$V72,5,IF(D72=$W72,6,IF(D72=$X72,7,IF(D72=$Y72,8,IF(D72=$Z72,9,IF(D72=$AA72,10,IF(D72=$AB72,11,IF(D72=$AC72,12,IF(D72=$AD72,13))))))))))))))</f>
        <v/>
      </c>
      <c r="E73" s="49" t="str">
        <f t="shared" si="25"/>
        <v/>
      </c>
      <c r="F73" s="49" t="str">
        <f t="shared" si="25"/>
        <v/>
      </c>
      <c r="G73" s="49" t="str">
        <f t="shared" si="25"/>
        <v/>
      </c>
      <c r="H73" s="49" t="str">
        <f t="shared" si="25"/>
        <v/>
      </c>
      <c r="I73" s="49" t="str">
        <f t="shared" si="25"/>
        <v/>
      </c>
      <c r="J73" s="49" t="str">
        <f t="shared" si="25"/>
        <v/>
      </c>
      <c r="K73" s="49" t="str">
        <f t="shared" si="25"/>
        <v/>
      </c>
      <c r="L73" s="49" t="str">
        <f t="shared" si="25"/>
        <v/>
      </c>
      <c r="M73" s="49" t="str">
        <f t="shared" si="25"/>
        <v/>
      </c>
      <c r="N73" s="49" t="str">
        <f t="shared" si="25"/>
        <v/>
      </c>
      <c r="O73" s="49" t="str">
        <f t="shared" si="25"/>
        <v/>
      </c>
      <c r="P73" s="49" t="str">
        <f t="shared" si="25"/>
        <v/>
      </c>
      <c r="Q73" s="43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</row>
    <row r="74" spans="1:30" ht="13.5" customHeight="1">
      <c r="A74" s="26"/>
      <c r="B74" s="26"/>
      <c r="C74" s="26"/>
      <c r="D74" s="48" t="str">
        <f>IF(Tracking!J38="","",IF(Person!$C$20="m",ABS((Tracking!J38/4-D$45)),ABS((Tracking!J38/4-D$48))))</f>
        <v/>
      </c>
      <c r="E74" s="48" t="str">
        <f>IF(Tracking!K38="","",IF(Person!$C$20="m",ABS((Tracking!K38/4-E$45)),ABS((Tracking!K38/4-E$48))))</f>
        <v/>
      </c>
      <c r="F74" s="48" t="str">
        <f>IF(Tracking!L38="","",IF(Person!$C$20="m",ABS((Tracking!L38/4-F$45)),ABS((Tracking!L38/4-F$48))))</f>
        <v/>
      </c>
      <c r="G74" s="48" t="str">
        <f>IF(Tracking!M38="","",IF(Person!$C$20="m",ABS((Tracking!M38/4-G$45)),ABS((Tracking!M38/4-G$48))))</f>
        <v/>
      </c>
      <c r="H74" s="48" t="str">
        <f>IF(Tracking!N38="","",IF(Person!$C$20="m",ABS((Tracking!N38/4-H$45)),ABS((Tracking!N38/4-H$48))))</f>
        <v/>
      </c>
      <c r="I74" s="48" t="str">
        <f>IF(Tracking!O38="","",IF(Person!$C$20="m",ABS((Tracking!O38/4-I$45)),ABS((Tracking!O38/4-I$48))))</f>
        <v/>
      </c>
      <c r="J74" s="48" t="str">
        <f>IF(Tracking!P38="","",IF(Person!$C$20="m",ABS((Tracking!P38/4-J$45)),ABS((Tracking!P38/4-J$48))))</f>
        <v/>
      </c>
      <c r="K74" s="48" t="str">
        <f>IF(Tracking!Q38="","",IF(Person!$C$20="m",ABS((Tracking!Q38/4-K$45)),ABS((Tracking!Q38/4-K$48))))</f>
        <v/>
      </c>
      <c r="L74" s="48" t="str">
        <f>IF(Tracking!R38="","",IF(Person!$C$20="m",ABS((Tracking!R38/4-L$45)),ABS((Tracking!R38/4-L$48))))</f>
        <v/>
      </c>
      <c r="M74" s="48" t="str">
        <f>IF(Tracking!S38="","",IF(Person!$C$20="m",ABS((Tracking!S38/4-M$45)),ABS((Tracking!S38/4-M$48))))</f>
        <v/>
      </c>
      <c r="N74" s="48" t="str">
        <f>IF(Tracking!T38="","",IF(Person!$C$20="m",ABS((Tracking!T38/4-N$45)),ABS((Tracking!T38/4-N$48))))</f>
        <v/>
      </c>
      <c r="O74" s="48" t="str">
        <f>IF(Tracking!U38="","",IF(Person!$C$20="m",ABS((Tracking!U38/4-O$45)),ABS((Tracking!U38/4-O$48))))</f>
        <v/>
      </c>
      <c r="P74" s="48" t="str">
        <f>IF(Tracking!V38="","",IF(Person!$C$20="m",ABS((Tracking!V38/4-P$45)),ABS((Tracking!V38/4-P$48))))</f>
        <v/>
      </c>
      <c r="Q74" s="43"/>
      <c r="R74" s="48" t="str">
        <f t="shared" ref="R74:AD74" si="26">IF(ISERROR(LARGE($D74:$P74,R$44)),"",LARGE($D74:$P74,R$44))</f>
        <v/>
      </c>
      <c r="S74" s="48" t="str">
        <f t="shared" si="26"/>
        <v/>
      </c>
      <c r="T74" s="48" t="str">
        <f t="shared" si="26"/>
        <v/>
      </c>
      <c r="U74" s="48" t="str">
        <f t="shared" si="26"/>
        <v/>
      </c>
      <c r="V74" s="48" t="str">
        <f t="shared" si="26"/>
        <v/>
      </c>
      <c r="W74" s="48" t="str">
        <f t="shared" si="26"/>
        <v/>
      </c>
      <c r="X74" s="48" t="str">
        <f t="shared" si="26"/>
        <v/>
      </c>
      <c r="Y74" s="48" t="str">
        <f t="shared" si="26"/>
        <v/>
      </c>
      <c r="Z74" s="48" t="str">
        <f t="shared" si="26"/>
        <v/>
      </c>
      <c r="AA74" s="48" t="str">
        <f t="shared" si="26"/>
        <v/>
      </c>
      <c r="AB74" s="48" t="str">
        <f t="shared" si="26"/>
        <v/>
      </c>
      <c r="AC74" s="48" t="str">
        <f t="shared" si="26"/>
        <v/>
      </c>
      <c r="AD74" s="48" t="str">
        <f t="shared" si="26"/>
        <v/>
      </c>
    </row>
    <row r="75" spans="1:30" ht="13.5" customHeight="1">
      <c r="A75" s="26"/>
      <c r="B75" s="26"/>
      <c r="C75" s="26"/>
      <c r="D75" s="49" t="str">
        <f t="shared" ref="D75:P75" si="27">IF(D74="","",IF(D74=$R74,1,IF(D74=$S74,2,IF(D74=$T74,3,IF(D74=$U74,4,IF(D74=$V74,5,IF(D74=$W74,6,IF(D74=$X74,7,IF(D74=$Y74,8,IF(D74=$Z74,9,IF(D74=$AA74,10,IF(D74=$AB74,11,IF(D74=$AC74,12,IF(D74=$AD74,13))))))))))))))</f>
        <v/>
      </c>
      <c r="E75" s="49" t="str">
        <f t="shared" si="27"/>
        <v/>
      </c>
      <c r="F75" s="49" t="str">
        <f t="shared" si="27"/>
        <v/>
      </c>
      <c r="G75" s="49" t="str">
        <f t="shared" si="27"/>
        <v/>
      </c>
      <c r="H75" s="49" t="str">
        <f t="shared" si="27"/>
        <v/>
      </c>
      <c r="I75" s="49" t="str">
        <f t="shared" si="27"/>
        <v/>
      </c>
      <c r="J75" s="49" t="str">
        <f t="shared" si="27"/>
        <v/>
      </c>
      <c r="K75" s="49" t="str">
        <f t="shared" si="27"/>
        <v/>
      </c>
      <c r="L75" s="49" t="str">
        <f t="shared" si="27"/>
        <v/>
      </c>
      <c r="M75" s="49" t="str">
        <f t="shared" si="27"/>
        <v/>
      </c>
      <c r="N75" s="49" t="str">
        <f t="shared" si="27"/>
        <v/>
      </c>
      <c r="O75" s="49" t="str">
        <f t="shared" si="27"/>
        <v/>
      </c>
      <c r="P75" s="49" t="str">
        <f t="shared" si="27"/>
        <v/>
      </c>
      <c r="Q75" s="43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</row>
    <row r="76" spans="1:30" ht="13.5" customHeight="1">
      <c r="A76" s="26"/>
      <c r="B76" s="26"/>
      <c r="C76" s="26"/>
      <c r="D76" s="48" t="str">
        <f>IF(Tracking!J40="","",IF(Person!$C$20="m",ABS((Tracking!J40/4-D$45)),ABS((Tracking!J40/4-D$48))))</f>
        <v/>
      </c>
      <c r="E76" s="48" t="str">
        <f>IF(Tracking!K40="","",IF(Person!$C$20="m",ABS((Tracking!K40/4-E$45)),ABS((Tracking!K40/4-E$48))))</f>
        <v/>
      </c>
      <c r="F76" s="48" t="str">
        <f>IF(Tracking!L40="","",IF(Person!$C$20="m",ABS((Tracking!L40/4-F$45)),ABS((Tracking!L40/4-F$48))))</f>
        <v/>
      </c>
      <c r="G76" s="48" t="str">
        <f>IF(Tracking!M40="","",IF(Person!$C$20="m",ABS((Tracking!M40/4-G$45)),ABS((Tracking!M40/4-G$48))))</f>
        <v/>
      </c>
      <c r="H76" s="48" t="str">
        <f>IF(Tracking!N40="","",IF(Person!$C$20="m",ABS((Tracking!N40/4-H$45)),ABS((Tracking!N40/4-H$48))))</f>
        <v/>
      </c>
      <c r="I76" s="48" t="str">
        <f>IF(Tracking!O40="","",IF(Person!$C$20="m",ABS((Tracking!O40/4-I$45)),ABS((Tracking!O40/4-I$48))))</f>
        <v/>
      </c>
      <c r="J76" s="48" t="str">
        <f>IF(Tracking!P40="","",IF(Person!$C$20="m",ABS((Tracking!P40/4-J$45)),ABS((Tracking!P40/4-J$48))))</f>
        <v/>
      </c>
      <c r="K76" s="48" t="str">
        <f>IF(Tracking!Q40="","",IF(Person!$C$20="m",ABS((Tracking!Q40/4-K$45)),ABS((Tracking!Q40/4-K$48))))</f>
        <v/>
      </c>
      <c r="L76" s="48" t="str">
        <f>IF(Tracking!R40="","",IF(Person!$C$20="m",ABS((Tracking!R40/4-L$45)),ABS((Tracking!R40/4-L$48))))</f>
        <v/>
      </c>
      <c r="M76" s="48" t="str">
        <f>IF(Tracking!S40="","",IF(Person!$C$20="m",ABS((Tracking!S40/4-M$45)),ABS((Tracking!S40/4-M$48))))</f>
        <v/>
      </c>
      <c r="N76" s="48" t="str">
        <f>IF(Tracking!T40="","",IF(Person!$C$20="m",ABS((Tracking!T40/4-N$45)),ABS((Tracking!T40/4-N$48))))</f>
        <v/>
      </c>
      <c r="O76" s="48" t="str">
        <f>IF(Tracking!U40="","",IF(Person!$C$20="m",ABS((Tracking!U40/4-O$45)),ABS((Tracking!U40/4-O$48))))</f>
        <v/>
      </c>
      <c r="P76" s="48" t="str">
        <f>IF(Tracking!V40="","",IF(Person!$C$20="m",ABS((Tracking!V40/4-P$45)),ABS((Tracking!V40/4-P$48))))</f>
        <v/>
      </c>
      <c r="Q76" s="43"/>
      <c r="R76" s="48" t="str">
        <f t="shared" ref="R76:AD76" si="28">IF(ISERROR(LARGE($D76:$P76,R$44)),"",LARGE($D76:$P76,R$44))</f>
        <v/>
      </c>
      <c r="S76" s="48" t="str">
        <f t="shared" si="28"/>
        <v/>
      </c>
      <c r="T76" s="48" t="str">
        <f t="shared" si="28"/>
        <v/>
      </c>
      <c r="U76" s="48" t="str">
        <f t="shared" si="28"/>
        <v/>
      </c>
      <c r="V76" s="48" t="str">
        <f t="shared" si="28"/>
        <v/>
      </c>
      <c r="W76" s="48" t="str">
        <f t="shared" si="28"/>
        <v/>
      </c>
      <c r="X76" s="48" t="str">
        <f t="shared" si="28"/>
        <v/>
      </c>
      <c r="Y76" s="48" t="str">
        <f t="shared" si="28"/>
        <v/>
      </c>
      <c r="Z76" s="48" t="str">
        <f t="shared" si="28"/>
        <v/>
      </c>
      <c r="AA76" s="48" t="str">
        <f t="shared" si="28"/>
        <v/>
      </c>
      <c r="AB76" s="48" t="str">
        <f t="shared" si="28"/>
        <v/>
      </c>
      <c r="AC76" s="48" t="str">
        <f t="shared" si="28"/>
        <v/>
      </c>
      <c r="AD76" s="48" t="str">
        <f t="shared" si="28"/>
        <v/>
      </c>
    </row>
    <row r="77" spans="1:30" ht="13.5" customHeight="1">
      <c r="A77" s="26"/>
      <c r="B77" s="26"/>
      <c r="C77" s="26"/>
      <c r="D77" s="49" t="str">
        <f t="shared" ref="D77:P77" si="29">IF(D76="","",IF(D76=$R76,1,IF(D76=$S76,2,IF(D76=$T76,3,IF(D76=$U76,4,IF(D76=$V76,5,IF(D76=$W76,6,IF(D76=$X76,7,IF(D76=$Y76,8,IF(D76=$Z76,9,IF(D76=$AA76,10,IF(D76=$AB76,11,IF(D76=$AC76,12,IF(D76=$AD76,13))))))))))))))</f>
        <v/>
      </c>
      <c r="E77" s="49" t="str">
        <f t="shared" si="29"/>
        <v/>
      </c>
      <c r="F77" s="49" t="str">
        <f t="shared" si="29"/>
        <v/>
      </c>
      <c r="G77" s="49" t="str">
        <f t="shared" si="29"/>
        <v/>
      </c>
      <c r="H77" s="49" t="str">
        <f t="shared" si="29"/>
        <v/>
      </c>
      <c r="I77" s="49" t="str">
        <f t="shared" si="29"/>
        <v/>
      </c>
      <c r="J77" s="49" t="str">
        <f t="shared" si="29"/>
        <v/>
      </c>
      <c r="K77" s="49" t="str">
        <f t="shared" si="29"/>
        <v/>
      </c>
      <c r="L77" s="49" t="str">
        <f t="shared" si="29"/>
        <v/>
      </c>
      <c r="M77" s="49" t="str">
        <f t="shared" si="29"/>
        <v/>
      </c>
      <c r="N77" s="49" t="str">
        <f t="shared" si="29"/>
        <v/>
      </c>
      <c r="O77" s="49" t="str">
        <f t="shared" si="29"/>
        <v/>
      </c>
      <c r="P77" s="49" t="str">
        <f t="shared" si="29"/>
        <v/>
      </c>
      <c r="Q77" s="43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</row>
    <row r="78" spans="1:30" ht="13.5" customHeight="1">
      <c r="A78" s="26"/>
      <c r="B78" s="26"/>
      <c r="C78" s="26"/>
      <c r="D78" s="48" t="str">
        <f>IF(Tracking!J42="","",IF(Person!$C$20="m",ABS((Tracking!J42/4-D$45)),ABS((Tracking!J42/4-D$48))))</f>
        <v/>
      </c>
      <c r="E78" s="48" t="str">
        <f>IF(Tracking!K42="","",IF(Person!$C$20="m",ABS((Tracking!K42/4-E$45)),ABS((Tracking!K42/4-E$48))))</f>
        <v/>
      </c>
      <c r="F78" s="48" t="str">
        <f>IF(Tracking!L42="","",IF(Person!$C$20="m",ABS((Tracking!L42/4-F$45)),ABS((Tracking!L42/4-F$48))))</f>
        <v/>
      </c>
      <c r="G78" s="48" t="str">
        <f>IF(Tracking!M42="","",IF(Person!$C$20="m",ABS((Tracking!M42/4-G$45)),ABS((Tracking!M42/4-G$48))))</f>
        <v/>
      </c>
      <c r="H78" s="48" t="str">
        <f>IF(Tracking!N42="","",IF(Person!$C$20="m",ABS((Tracking!N42/4-H$45)),ABS((Tracking!N42/4-H$48))))</f>
        <v/>
      </c>
      <c r="I78" s="48" t="str">
        <f>IF(Tracking!O42="","",IF(Person!$C$20="m",ABS((Tracking!O42/4-I$45)),ABS((Tracking!O42/4-I$48))))</f>
        <v/>
      </c>
      <c r="J78" s="48" t="str">
        <f>IF(Tracking!P42="","",IF(Person!$C$20="m",ABS((Tracking!P42/4-J$45)),ABS((Tracking!P42/4-J$48))))</f>
        <v/>
      </c>
      <c r="K78" s="48" t="str">
        <f>IF(Tracking!Q42="","",IF(Person!$C$20="m",ABS((Tracking!Q42/4-K$45)),ABS((Tracking!Q42/4-K$48))))</f>
        <v/>
      </c>
      <c r="L78" s="48" t="str">
        <f>IF(Tracking!R42="","",IF(Person!$C$20="m",ABS((Tracking!R42/4-L$45)),ABS((Tracking!R42/4-L$48))))</f>
        <v/>
      </c>
      <c r="M78" s="48" t="str">
        <f>IF(Tracking!S42="","",IF(Person!$C$20="m",ABS((Tracking!S42/4-M$45)),ABS((Tracking!S42/4-M$48))))</f>
        <v/>
      </c>
      <c r="N78" s="48" t="str">
        <f>IF(Tracking!T42="","",IF(Person!$C$20="m",ABS((Tracking!T42/4-N$45)),ABS((Tracking!T42/4-N$48))))</f>
        <v/>
      </c>
      <c r="O78" s="48" t="str">
        <f>IF(Tracking!U42="","",IF(Person!$C$20="m",ABS((Tracking!U42/4-O$45)),ABS((Tracking!U42/4-O$48))))</f>
        <v/>
      </c>
      <c r="P78" s="48" t="str">
        <f>IF(Tracking!V42="","",IF(Person!$C$20="m",ABS((Tracking!V42/4-P$45)),ABS((Tracking!V42/4-P$48))))</f>
        <v/>
      </c>
      <c r="Q78" s="43"/>
      <c r="R78" s="48" t="str">
        <f t="shared" ref="R78:AD78" si="30">IF(ISERROR(LARGE($D78:$P78,R$44)),"",LARGE($D78:$P78,R$44))</f>
        <v/>
      </c>
      <c r="S78" s="48" t="str">
        <f t="shared" si="30"/>
        <v/>
      </c>
      <c r="T78" s="48" t="str">
        <f t="shared" si="30"/>
        <v/>
      </c>
      <c r="U78" s="48" t="str">
        <f t="shared" si="30"/>
        <v/>
      </c>
      <c r="V78" s="48" t="str">
        <f t="shared" si="30"/>
        <v/>
      </c>
      <c r="W78" s="48" t="str">
        <f t="shared" si="30"/>
        <v/>
      </c>
      <c r="X78" s="48" t="str">
        <f t="shared" si="30"/>
        <v/>
      </c>
      <c r="Y78" s="48" t="str">
        <f t="shared" si="30"/>
        <v/>
      </c>
      <c r="Z78" s="48" t="str">
        <f t="shared" si="30"/>
        <v/>
      </c>
      <c r="AA78" s="48" t="str">
        <f t="shared" si="30"/>
        <v/>
      </c>
      <c r="AB78" s="48" t="str">
        <f t="shared" si="30"/>
        <v/>
      </c>
      <c r="AC78" s="48" t="str">
        <f t="shared" si="30"/>
        <v/>
      </c>
      <c r="AD78" s="48" t="str">
        <f t="shared" si="30"/>
        <v/>
      </c>
    </row>
    <row r="79" spans="1:30" ht="13.5" customHeight="1">
      <c r="A79" s="26"/>
      <c r="B79" s="26"/>
      <c r="C79" s="26"/>
      <c r="D79" s="49" t="str">
        <f t="shared" ref="D79:P79" si="31">IF(D78="","",IF(D78=$R78,1,IF(D78=$S78,2,IF(D78=$T78,3,IF(D78=$U78,4,IF(D78=$V78,5,IF(D78=$W78,6,IF(D78=$X78,7,IF(D78=$Y78,8,IF(D78=$Z78,9,IF(D78=$AA78,10,IF(D78=$AB78,11,IF(D78=$AC78,12,IF(D78=$AD78,13))))))))))))))</f>
        <v/>
      </c>
      <c r="E79" s="49" t="str">
        <f t="shared" si="31"/>
        <v/>
      </c>
      <c r="F79" s="49" t="str">
        <f t="shared" si="31"/>
        <v/>
      </c>
      <c r="G79" s="49" t="str">
        <f t="shared" si="31"/>
        <v/>
      </c>
      <c r="H79" s="49" t="str">
        <f t="shared" si="31"/>
        <v/>
      </c>
      <c r="I79" s="49" t="str">
        <f t="shared" si="31"/>
        <v/>
      </c>
      <c r="J79" s="49" t="str">
        <f t="shared" si="31"/>
        <v/>
      </c>
      <c r="K79" s="49" t="str">
        <f t="shared" si="31"/>
        <v/>
      </c>
      <c r="L79" s="49" t="str">
        <f t="shared" si="31"/>
        <v/>
      </c>
      <c r="M79" s="49" t="str">
        <f t="shared" si="31"/>
        <v/>
      </c>
      <c r="N79" s="49" t="str">
        <f t="shared" si="31"/>
        <v/>
      </c>
      <c r="O79" s="49" t="str">
        <f t="shared" si="31"/>
        <v/>
      </c>
      <c r="P79" s="49" t="str">
        <f t="shared" si="31"/>
        <v/>
      </c>
      <c r="Q79" s="43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</row>
    <row r="80" spans="1:30" ht="13.5" customHeight="1">
      <c r="A80" s="26"/>
      <c r="B80" s="26"/>
      <c r="C80" s="26"/>
      <c r="D80" s="48" t="str">
        <f>IF(Tracking!J44="","",IF(Person!$C$20="m",ABS((Tracking!J44/4-D$45)),ABS((Tracking!J44/4-D$48))))</f>
        <v/>
      </c>
      <c r="E80" s="48" t="str">
        <f>IF(Tracking!K44="","",IF(Person!$C$20="m",ABS((Tracking!K44/4-E$45)),ABS((Tracking!K44/4-E$48))))</f>
        <v/>
      </c>
      <c r="F80" s="48" t="str">
        <f>IF(Tracking!L44="","",IF(Person!$C$20="m",ABS((Tracking!L44/4-F$45)),ABS((Tracking!L44/4-F$48))))</f>
        <v/>
      </c>
      <c r="G80" s="48" t="str">
        <f>IF(Tracking!M44="","",IF(Person!$C$20="m",ABS((Tracking!M44/4-G$45)),ABS((Tracking!M44/4-G$48))))</f>
        <v/>
      </c>
      <c r="H80" s="48" t="str">
        <f>IF(Tracking!N44="","",IF(Person!$C$20="m",ABS((Tracking!N44/4-H$45)),ABS((Tracking!N44/4-H$48))))</f>
        <v/>
      </c>
      <c r="I80" s="48" t="str">
        <f>IF(Tracking!O44="","",IF(Person!$C$20="m",ABS((Tracking!O44/4-I$45)),ABS((Tracking!O44/4-I$48))))</f>
        <v/>
      </c>
      <c r="J80" s="48" t="str">
        <f>IF(Tracking!P44="","",IF(Person!$C$20="m",ABS((Tracking!P44/4-J$45)),ABS((Tracking!P44/4-J$48))))</f>
        <v/>
      </c>
      <c r="K80" s="48" t="str">
        <f>IF(Tracking!Q44="","",IF(Person!$C$20="m",ABS((Tracking!Q44/4-K$45)),ABS((Tracking!Q44/4-K$48))))</f>
        <v/>
      </c>
      <c r="L80" s="48" t="str">
        <f>IF(Tracking!R44="","",IF(Person!$C$20="m",ABS((Tracking!R44/4-L$45)),ABS((Tracking!R44/4-L$48))))</f>
        <v/>
      </c>
      <c r="M80" s="48" t="str">
        <f>IF(Tracking!S44="","",IF(Person!$C$20="m",ABS((Tracking!S44/4-M$45)),ABS((Tracking!S44/4-M$48))))</f>
        <v/>
      </c>
      <c r="N80" s="48" t="str">
        <f>IF(Tracking!T44="","",IF(Person!$C$20="m",ABS((Tracking!T44/4-N$45)),ABS((Tracking!T44/4-N$48))))</f>
        <v/>
      </c>
      <c r="O80" s="48" t="str">
        <f>IF(Tracking!U44="","",IF(Person!$C$20="m",ABS((Tracking!U44/4-O$45)),ABS((Tracking!U44/4-O$48))))</f>
        <v/>
      </c>
      <c r="P80" s="48" t="str">
        <f>IF(Tracking!V44="","",IF(Person!$C$20="m",ABS((Tracking!V44/4-P$45)),ABS((Tracking!V44/4-P$48))))</f>
        <v/>
      </c>
      <c r="Q80" s="43"/>
      <c r="R80" s="48" t="str">
        <f t="shared" ref="R80:AD80" si="32">IF(ISERROR(LARGE($D80:$P80,R$44)),"",LARGE($D80:$P80,R$44))</f>
        <v/>
      </c>
      <c r="S80" s="48" t="str">
        <f t="shared" si="32"/>
        <v/>
      </c>
      <c r="T80" s="48" t="str">
        <f t="shared" si="32"/>
        <v/>
      </c>
      <c r="U80" s="48" t="str">
        <f t="shared" si="32"/>
        <v/>
      </c>
      <c r="V80" s="48" t="str">
        <f t="shared" si="32"/>
        <v/>
      </c>
      <c r="W80" s="48" t="str">
        <f t="shared" si="32"/>
        <v/>
      </c>
      <c r="X80" s="48" t="str">
        <f t="shared" si="32"/>
        <v/>
      </c>
      <c r="Y80" s="48" t="str">
        <f t="shared" si="32"/>
        <v/>
      </c>
      <c r="Z80" s="48" t="str">
        <f t="shared" si="32"/>
        <v/>
      </c>
      <c r="AA80" s="48" t="str">
        <f t="shared" si="32"/>
        <v/>
      </c>
      <c r="AB80" s="48" t="str">
        <f t="shared" si="32"/>
        <v/>
      </c>
      <c r="AC80" s="48" t="str">
        <f t="shared" si="32"/>
        <v/>
      </c>
      <c r="AD80" s="48" t="str">
        <f t="shared" si="32"/>
        <v/>
      </c>
    </row>
    <row r="81" spans="1:30" ht="13.5" customHeight="1">
      <c r="A81" s="26"/>
      <c r="B81" s="26"/>
      <c r="C81" s="26"/>
      <c r="D81" s="49" t="str">
        <f t="shared" ref="D81:P81" si="33">IF(D80="","",IF(D80=$R80,1,IF(D80=$S80,2,IF(D80=$T80,3,IF(D80=$U80,4,IF(D80=$V80,5,IF(D80=$W80,6,IF(D80=$X80,7,IF(D80=$Y80,8,IF(D80=$Z80,9,IF(D80=$AA80,10,IF(D80=$AB80,11,IF(D80=$AC80,12,IF(D80=$AD80,13))))))))))))))</f>
        <v/>
      </c>
      <c r="E81" s="49" t="str">
        <f t="shared" si="33"/>
        <v/>
      </c>
      <c r="F81" s="49" t="str">
        <f t="shared" si="33"/>
        <v/>
      </c>
      <c r="G81" s="49" t="str">
        <f t="shared" si="33"/>
        <v/>
      </c>
      <c r="H81" s="49" t="str">
        <f t="shared" si="33"/>
        <v/>
      </c>
      <c r="I81" s="49" t="str">
        <f t="shared" si="33"/>
        <v/>
      </c>
      <c r="J81" s="49" t="str">
        <f t="shared" si="33"/>
        <v/>
      </c>
      <c r="K81" s="49" t="str">
        <f t="shared" si="33"/>
        <v/>
      </c>
      <c r="L81" s="49" t="str">
        <f t="shared" si="33"/>
        <v/>
      </c>
      <c r="M81" s="49" t="str">
        <f t="shared" si="33"/>
        <v/>
      </c>
      <c r="N81" s="49" t="str">
        <f t="shared" si="33"/>
        <v/>
      </c>
      <c r="O81" s="49" t="str">
        <f t="shared" si="33"/>
        <v/>
      </c>
      <c r="P81" s="49" t="str">
        <f t="shared" si="33"/>
        <v/>
      </c>
      <c r="Q81" s="43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</row>
    <row r="82" spans="1:30" ht="13.5" customHeight="1">
      <c r="A82" s="26"/>
      <c r="B82" s="26"/>
      <c r="C82" s="26"/>
      <c r="D82" s="48" t="str">
        <f>IF(Tracking!J46="","",IF(Person!$C$20="m",ABS((Tracking!J46/4-D$45)),ABS((Tracking!J46/4-D$48))))</f>
        <v/>
      </c>
      <c r="E82" s="48" t="str">
        <f>IF(Tracking!K46="","",IF(Person!$C$20="m",ABS((Tracking!K46/4-E$45)),ABS((Tracking!K46/4-E$48))))</f>
        <v/>
      </c>
      <c r="F82" s="48" t="str">
        <f>IF(Tracking!L46="","",IF(Person!$C$20="m",ABS((Tracking!L46/4-F$45)),ABS((Tracking!L46/4-F$48))))</f>
        <v/>
      </c>
      <c r="G82" s="48" t="str">
        <f>IF(Tracking!M46="","",IF(Person!$C$20="m",ABS((Tracking!M46/4-G$45)),ABS((Tracking!M46/4-G$48))))</f>
        <v/>
      </c>
      <c r="H82" s="48" t="str">
        <f>IF(Tracking!N46="","",IF(Person!$C$20="m",ABS((Tracking!N46/4-H$45)),ABS((Tracking!N46/4-H$48))))</f>
        <v/>
      </c>
      <c r="I82" s="48" t="str">
        <f>IF(Tracking!O46="","",IF(Person!$C$20="m",ABS((Tracking!O46/4-I$45)),ABS((Tracking!O46/4-I$48))))</f>
        <v/>
      </c>
      <c r="J82" s="48" t="str">
        <f>IF(Tracking!P46="","",IF(Person!$C$20="m",ABS((Tracking!P46/4-J$45)),ABS((Tracking!P46/4-J$48))))</f>
        <v/>
      </c>
      <c r="K82" s="48" t="str">
        <f>IF(Tracking!Q46="","",IF(Person!$C$20="m",ABS((Tracking!Q46/4-K$45)),ABS((Tracking!Q46/4-K$48))))</f>
        <v/>
      </c>
      <c r="L82" s="48" t="str">
        <f>IF(Tracking!R46="","",IF(Person!$C$20="m",ABS((Tracking!R46/4-L$45)),ABS((Tracking!R46/4-L$48))))</f>
        <v/>
      </c>
      <c r="M82" s="48" t="str">
        <f>IF(Tracking!S46="","",IF(Person!$C$20="m",ABS((Tracking!S46/4-M$45)),ABS((Tracking!S46/4-M$48))))</f>
        <v/>
      </c>
      <c r="N82" s="48" t="str">
        <f>IF(Tracking!T46="","",IF(Person!$C$20="m",ABS((Tracking!T46/4-N$45)),ABS((Tracking!T46/4-N$48))))</f>
        <v/>
      </c>
      <c r="O82" s="48" t="str">
        <f>IF(Tracking!U46="","",IF(Person!$C$20="m",ABS((Tracking!U46/4-O$45)),ABS((Tracking!U46/4-O$48))))</f>
        <v/>
      </c>
      <c r="P82" s="48" t="str">
        <f>IF(Tracking!V46="","",IF(Person!$C$20="m",ABS((Tracking!V46/4-P$45)),ABS((Tracking!V46/4-P$48))))</f>
        <v/>
      </c>
      <c r="Q82" s="43"/>
      <c r="R82" s="48" t="str">
        <f t="shared" ref="R82:AD82" si="34">IF(ISERROR(LARGE($D82:$P82,R$44)),"",LARGE($D82:$P82,R$44))</f>
        <v/>
      </c>
      <c r="S82" s="48" t="str">
        <f t="shared" si="34"/>
        <v/>
      </c>
      <c r="T82" s="48" t="str">
        <f t="shared" si="34"/>
        <v/>
      </c>
      <c r="U82" s="48" t="str">
        <f t="shared" si="34"/>
        <v/>
      </c>
      <c r="V82" s="48" t="str">
        <f t="shared" si="34"/>
        <v/>
      </c>
      <c r="W82" s="48" t="str">
        <f t="shared" si="34"/>
        <v/>
      </c>
      <c r="X82" s="48" t="str">
        <f t="shared" si="34"/>
        <v/>
      </c>
      <c r="Y82" s="48" t="str">
        <f t="shared" si="34"/>
        <v/>
      </c>
      <c r="Z82" s="48" t="str">
        <f t="shared" si="34"/>
        <v/>
      </c>
      <c r="AA82" s="48" t="str">
        <f t="shared" si="34"/>
        <v/>
      </c>
      <c r="AB82" s="48" t="str">
        <f t="shared" si="34"/>
        <v/>
      </c>
      <c r="AC82" s="48" t="str">
        <f t="shared" si="34"/>
        <v/>
      </c>
      <c r="AD82" s="48" t="str">
        <f t="shared" si="34"/>
        <v/>
      </c>
    </row>
    <row r="83" spans="1:30" ht="13.5" customHeight="1">
      <c r="A83" s="26"/>
      <c r="B83" s="26"/>
      <c r="C83" s="26"/>
      <c r="D83" s="49" t="str">
        <f t="shared" ref="D83:P83" si="35">IF(D82="","",IF(D82=$R82,1,IF(D82=$S82,2,IF(D82=$T82,3,IF(D82=$U82,4,IF(D82=$V82,5,IF(D82=$W82,6,IF(D82=$X82,7,IF(D82=$Y82,8,IF(D82=$Z82,9,IF(D82=$AA82,10,IF(D82=$AB82,11,IF(D82=$AC82,12,IF(D82=$AD82,13))))))))))))))</f>
        <v/>
      </c>
      <c r="E83" s="49" t="str">
        <f t="shared" si="35"/>
        <v/>
      </c>
      <c r="F83" s="49" t="str">
        <f t="shared" si="35"/>
        <v/>
      </c>
      <c r="G83" s="49" t="str">
        <f t="shared" si="35"/>
        <v/>
      </c>
      <c r="H83" s="49" t="str">
        <f t="shared" si="35"/>
        <v/>
      </c>
      <c r="I83" s="49" t="str">
        <f t="shared" si="35"/>
        <v/>
      </c>
      <c r="J83" s="49" t="str">
        <f t="shared" si="35"/>
        <v/>
      </c>
      <c r="K83" s="49" t="str">
        <f t="shared" si="35"/>
        <v/>
      </c>
      <c r="L83" s="49" t="str">
        <f t="shared" si="35"/>
        <v/>
      </c>
      <c r="M83" s="49" t="str">
        <f t="shared" si="35"/>
        <v/>
      </c>
      <c r="N83" s="49" t="str">
        <f t="shared" si="35"/>
        <v/>
      </c>
      <c r="O83" s="49" t="str">
        <f t="shared" si="35"/>
        <v/>
      </c>
      <c r="P83" s="49" t="str">
        <f t="shared" si="35"/>
        <v/>
      </c>
      <c r="Q83" s="43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</row>
    <row r="84" spans="1:30" ht="13.5" customHeight="1">
      <c r="A84" s="26"/>
      <c r="B84" s="26"/>
      <c r="C84" s="26"/>
      <c r="D84" s="48" t="str">
        <f>IF(Tracking!J48="","",IF(Person!$C$20="m",ABS((Tracking!J48/4-D$45)),ABS((Tracking!J48/4-D$48))))</f>
        <v/>
      </c>
      <c r="E84" s="48" t="str">
        <f>IF(Tracking!K48="","",IF(Person!$C$20="m",ABS((Tracking!K48/4-E$45)),ABS((Tracking!K48/4-E$48))))</f>
        <v/>
      </c>
      <c r="F84" s="48" t="str">
        <f>IF(Tracking!L48="","",IF(Person!$C$20="m",ABS((Tracking!L48/4-F$45)),ABS((Tracking!L48/4-F$48))))</f>
        <v/>
      </c>
      <c r="G84" s="48" t="str">
        <f>IF(Tracking!M48="","",IF(Person!$C$20="m",ABS((Tracking!M48/4-G$45)),ABS((Tracking!M48/4-G$48))))</f>
        <v/>
      </c>
      <c r="H84" s="48" t="str">
        <f>IF(Tracking!N48="","",IF(Person!$C$20="m",ABS((Tracking!N48/4-H$45)),ABS((Tracking!N48/4-H$48))))</f>
        <v/>
      </c>
      <c r="I84" s="48" t="str">
        <f>IF(Tracking!O48="","",IF(Person!$C$20="m",ABS((Tracking!O48/4-I$45)),ABS((Tracking!O48/4-I$48))))</f>
        <v/>
      </c>
      <c r="J84" s="48" t="str">
        <f>IF(Tracking!P48="","",IF(Person!$C$20="m",ABS((Tracking!P48/4-J$45)),ABS((Tracking!P48/4-J$48))))</f>
        <v/>
      </c>
      <c r="K84" s="48" t="str">
        <f>IF(Tracking!Q48="","",IF(Person!$C$20="m",ABS((Tracking!Q48/4-K$45)),ABS((Tracking!Q48/4-K$48))))</f>
        <v/>
      </c>
      <c r="L84" s="48" t="str">
        <f>IF(Tracking!R48="","",IF(Person!$C$20="m",ABS((Tracking!R48/4-L$45)),ABS((Tracking!R48/4-L$48))))</f>
        <v/>
      </c>
      <c r="M84" s="48" t="str">
        <f>IF(Tracking!S48="","",IF(Person!$C$20="m",ABS((Tracking!S48/4-M$45)),ABS((Tracking!S48/4-M$48))))</f>
        <v/>
      </c>
      <c r="N84" s="48" t="str">
        <f>IF(Tracking!T48="","",IF(Person!$C$20="m",ABS((Tracking!T48/4-N$45)),ABS((Tracking!T48/4-N$48))))</f>
        <v/>
      </c>
      <c r="O84" s="48" t="str">
        <f>IF(Tracking!U48="","",IF(Person!$C$20="m",ABS((Tracking!U48/4-O$45)),ABS((Tracking!U48/4-O$48))))</f>
        <v/>
      </c>
      <c r="P84" s="48" t="str">
        <f>IF(Tracking!V48="","",IF(Person!$C$20="m",ABS((Tracking!V48/4-P$45)),ABS((Tracking!V48/4-P$48))))</f>
        <v/>
      </c>
      <c r="Q84" s="43"/>
      <c r="R84" s="48" t="str">
        <f t="shared" ref="R84:AD84" si="36">IF(ISERROR(LARGE($D84:$P84,R$44)),"",LARGE($D84:$P84,R$44))</f>
        <v/>
      </c>
      <c r="S84" s="48" t="str">
        <f t="shared" si="36"/>
        <v/>
      </c>
      <c r="T84" s="48" t="str">
        <f t="shared" si="36"/>
        <v/>
      </c>
      <c r="U84" s="48" t="str">
        <f t="shared" si="36"/>
        <v/>
      </c>
      <c r="V84" s="48" t="str">
        <f t="shared" si="36"/>
        <v/>
      </c>
      <c r="W84" s="48" t="str">
        <f t="shared" si="36"/>
        <v/>
      </c>
      <c r="X84" s="48" t="str">
        <f t="shared" si="36"/>
        <v/>
      </c>
      <c r="Y84" s="48" t="str">
        <f t="shared" si="36"/>
        <v/>
      </c>
      <c r="Z84" s="48" t="str">
        <f t="shared" si="36"/>
        <v/>
      </c>
      <c r="AA84" s="48" t="str">
        <f t="shared" si="36"/>
        <v/>
      </c>
      <c r="AB84" s="48" t="str">
        <f t="shared" si="36"/>
        <v/>
      </c>
      <c r="AC84" s="48" t="str">
        <f t="shared" si="36"/>
        <v/>
      </c>
      <c r="AD84" s="48" t="str">
        <f t="shared" si="36"/>
        <v/>
      </c>
    </row>
    <row r="85" spans="1:30" ht="13.5" customHeight="1">
      <c r="A85" s="26"/>
      <c r="B85" s="26"/>
      <c r="C85" s="26"/>
      <c r="D85" s="49" t="str">
        <f t="shared" ref="D85:P85" si="37">IF(D84="","",IF(D84=$R84,1,IF(D84=$S84,2,IF(D84=$T84,3,IF(D84=$U84,4,IF(D84=$V84,5,IF(D84=$W84,6,IF(D84=$X84,7,IF(D84=$Y84,8,IF(D84=$Z84,9,IF(D84=$AA84,10,IF(D84=$AB84,11,IF(D84=$AC84,12,IF(D84=$AD84,13))))))))))))))</f>
        <v/>
      </c>
      <c r="E85" s="49" t="str">
        <f t="shared" si="37"/>
        <v/>
      </c>
      <c r="F85" s="49" t="str">
        <f t="shared" si="37"/>
        <v/>
      </c>
      <c r="G85" s="49" t="str">
        <f t="shared" si="37"/>
        <v/>
      </c>
      <c r="H85" s="49" t="str">
        <f t="shared" si="37"/>
        <v/>
      </c>
      <c r="I85" s="49" t="str">
        <f t="shared" si="37"/>
        <v/>
      </c>
      <c r="J85" s="49" t="str">
        <f t="shared" si="37"/>
        <v/>
      </c>
      <c r="K85" s="49" t="str">
        <f t="shared" si="37"/>
        <v/>
      </c>
      <c r="L85" s="49" t="str">
        <f t="shared" si="37"/>
        <v/>
      </c>
      <c r="M85" s="49" t="str">
        <f t="shared" si="37"/>
        <v/>
      </c>
      <c r="N85" s="49" t="str">
        <f t="shared" si="37"/>
        <v/>
      </c>
      <c r="O85" s="49" t="str">
        <f t="shared" si="37"/>
        <v/>
      </c>
      <c r="P85" s="49" t="str">
        <f t="shared" si="37"/>
        <v/>
      </c>
      <c r="Q85" s="43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</row>
    <row r="86" spans="1:30" ht="13.5" customHeight="1">
      <c r="A86" s="26"/>
      <c r="B86" s="26"/>
      <c r="C86" s="26"/>
      <c r="D86" s="48" t="str">
        <f>IF(Tracking!J50="","",IF(Person!$C$20="m",ABS((Tracking!J50/4-D$45)),ABS((Tracking!J50/4-D$48))))</f>
        <v/>
      </c>
      <c r="E86" s="48" t="str">
        <f>IF(Tracking!K50="","",IF(Person!$C$20="m",ABS((Tracking!K50/4-E$45)),ABS((Tracking!K50/4-E$48))))</f>
        <v/>
      </c>
      <c r="F86" s="48" t="str">
        <f>IF(Tracking!L50="","",IF(Person!$C$20="m",ABS((Tracking!L50/4-F$45)),ABS((Tracking!L50/4-F$48))))</f>
        <v/>
      </c>
      <c r="G86" s="48" t="str">
        <f>IF(Tracking!M50="","",IF(Person!$C$20="m",ABS((Tracking!M50/4-G$45)),ABS((Tracking!M50/4-G$48))))</f>
        <v/>
      </c>
      <c r="H86" s="48" t="str">
        <f>IF(Tracking!N50="","",IF(Person!$C$20="m",ABS((Tracking!N50/4-H$45)),ABS((Tracking!N50/4-H$48))))</f>
        <v/>
      </c>
      <c r="I86" s="48" t="str">
        <f>IF(Tracking!O50="","",IF(Person!$C$20="m",ABS((Tracking!O50/4-I$45)),ABS((Tracking!O50/4-I$48))))</f>
        <v/>
      </c>
      <c r="J86" s="48" t="str">
        <f>IF(Tracking!P50="","",IF(Person!$C$20="m",ABS((Tracking!P50/4-J$45)),ABS((Tracking!P50/4-J$48))))</f>
        <v/>
      </c>
      <c r="K86" s="48" t="str">
        <f>IF(Tracking!Q50="","",IF(Person!$C$20="m",ABS((Tracking!Q50/4-K$45)),ABS((Tracking!Q50/4-K$48))))</f>
        <v/>
      </c>
      <c r="L86" s="48" t="str">
        <f>IF(Tracking!R50="","",IF(Person!$C$20="m",ABS((Tracking!R50/4-L$45)),ABS((Tracking!R50/4-L$48))))</f>
        <v/>
      </c>
      <c r="M86" s="48" t="str">
        <f>IF(Tracking!S50="","",IF(Person!$C$20="m",ABS((Tracking!S50/4-M$45)),ABS((Tracking!S50/4-M$48))))</f>
        <v/>
      </c>
      <c r="N86" s="48" t="str">
        <f>IF(Tracking!T50="","",IF(Person!$C$20="m",ABS((Tracking!T50/4-N$45)),ABS((Tracking!T50/4-N$48))))</f>
        <v/>
      </c>
      <c r="O86" s="48" t="str">
        <f>IF(Tracking!U50="","",IF(Person!$C$20="m",ABS((Tracking!U50/4-O$45)),ABS((Tracking!U50/4-O$48))))</f>
        <v/>
      </c>
      <c r="P86" s="48" t="str">
        <f>IF(Tracking!V50="","",IF(Person!$C$20="m",ABS((Tracking!V50/4-P$45)),ABS((Tracking!V50/4-P$48))))</f>
        <v/>
      </c>
      <c r="Q86" s="43"/>
      <c r="R86" s="48" t="str">
        <f t="shared" ref="R86:AD86" si="38">IF(ISERROR(LARGE($D86:$P86,R$44)),"",LARGE($D86:$P86,R$44))</f>
        <v/>
      </c>
      <c r="S86" s="48" t="str">
        <f t="shared" si="38"/>
        <v/>
      </c>
      <c r="T86" s="48" t="str">
        <f t="shared" si="38"/>
        <v/>
      </c>
      <c r="U86" s="48" t="str">
        <f t="shared" si="38"/>
        <v/>
      </c>
      <c r="V86" s="48" t="str">
        <f t="shared" si="38"/>
        <v/>
      </c>
      <c r="W86" s="48" t="str">
        <f t="shared" si="38"/>
        <v/>
      </c>
      <c r="X86" s="48" t="str">
        <f t="shared" si="38"/>
        <v/>
      </c>
      <c r="Y86" s="48" t="str">
        <f t="shared" si="38"/>
        <v/>
      </c>
      <c r="Z86" s="48" t="str">
        <f t="shared" si="38"/>
        <v/>
      </c>
      <c r="AA86" s="48" t="str">
        <f t="shared" si="38"/>
        <v/>
      </c>
      <c r="AB86" s="48" t="str">
        <f t="shared" si="38"/>
        <v/>
      </c>
      <c r="AC86" s="48" t="str">
        <f t="shared" si="38"/>
        <v/>
      </c>
      <c r="AD86" s="48" t="str">
        <f t="shared" si="38"/>
        <v/>
      </c>
    </row>
    <row r="87" spans="1:30" ht="13.5" customHeight="1">
      <c r="A87" s="26"/>
      <c r="B87" s="26"/>
      <c r="C87" s="26"/>
      <c r="D87" s="49" t="str">
        <f t="shared" ref="D87:P87" si="39">IF(D86="","",IF(D86=$R86,1,IF(D86=$S86,2,IF(D86=$T86,3,IF(D86=$U86,4,IF(D86=$V86,5,IF(D86=$W86,6,IF(D86=$X86,7,IF(D86=$Y86,8,IF(D86=$Z86,9,IF(D86=$AA86,10,IF(D86=$AB86,11,IF(D86=$AC86,12,IF(D86=$AD86,13))))))))))))))</f>
        <v/>
      </c>
      <c r="E87" s="49" t="str">
        <f t="shared" si="39"/>
        <v/>
      </c>
      <c r="F87" s="49" t="str">
        <f t="shared" si="39"/>
        <v/>
      </c>
      <c r="G87" s="49" t="str">
        <f t="shared" si="39"/>
        <v/>
      </c>
      <c r="H87" s="49" t="str">
        <f t="shared" si="39"/>
        <v/>
      </c>
      <c r="I87" s="49" t="str">
        <f t="shared" si="39"/>
        <v/>
      </c>
      <c r="J87" s="49" t="str">
        <f t="shared" si="39"/>
        <v/>
      </c>
      <c r="K87" s="49" t="str">
        <f t="shared" si="39"/>
        <v/>
      </c>
      <c r="L87" s="49" t="str">
        <f t="shared" si="39"/>
        <v/>
      </c>
      <c r="M87" s="49" t="str">
        <f t="shared" si="39"/>
        <v/>
      </c>
      <c r="N87" s="49" t="str">
        <f t="shared" si="39"/>
        <v/>
      </c>
      <c r="O87" s="49" t="str">
        <f t="shared" si="39"/>
        <v/>
      </c>
      <c r="P87" s="49" t="str">
        <f t="shared" si="39"/>
        <v/>
      </c>
      <c r="Q87" s="43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</row>
    <row r="88" spans="1:30" ht="13.5" customHeight="1">
      <c r="A88" s="26"/>
      <c r="B88" s="26"/>
      <c r="C88" s="26"/>
      <c r="D88" s="48" t="str">
        <f>IF(Tracking!J52="","",IF(Person!$C$20="m",ABS((Tracking!J52/4-D$45)),ABS((Tracking!J52/4-D$48))))</f>
        <v/>
      </c>
      <c r="E88" s="48" t="str">
        <f>IF(Tracking!K52="","",IF(Person!$C$20="m",ABS((Tracking!K52/4-E$45)),ABS((Tracking!K52/4-E$48))))</f>
        <v/>
      </c>
      <c r="F88" s="48" t="str">
        <f>IF(Tracking!L52="","",IF(Person!$C$20="m",ABS((Tracking!L52/4-F$45)),ABS((Tracking!L52/4-F$48))))</f>
        <v/>
      </c>
      <c r="G88" s="48" t="str">
        <f>IF(Tracking!M52="","",IF(Person!$C$20="m",ABS((Tracking!M52/4-G$45)),ABS((Tracking!M52/4-G$48))))</f>
        <v/>
      </c>
      <c r="H88" s="48" t="str">
        <f>IF(Tracking!N52="","",IF(Person!$C$20="m",ABS((Tracking!N52/4-H$45)),ABS((Tracking!N52/4-H$48))))</f>
        <v/>
      </c>
      <c r="I88" s="48" t="str">
        <f>IF(Tracking!O52="","",IF(Person!$C$20="m",ABS((Tracking!O52/4-I$45)),ABS((Tracking!O52/4-I$48))))</f>
        <v/>
      </c>
      <c r="J88" s="48" t="str">
        <f>IF(Tracking!P52="","",IF(Person!$C$20="m",ABS((Tracking!P52/4-J$45)),ABS((Tracking!P52/4-J$48))))</f>
        <v/>
      </c>
      <c r="K88" s="48" t="str">
        <f>IF(Tracking!Q52="","",IF(Person!$C$20="m",ABS((Tracking!Q52/4-K$45)),ABS((Tracking!Q52/4-K$48))))</f>
        <v/>
      </c>
      <c r="L88" s="48" t="str">
        <f>IF(Tracking!R52="","",IF(Person!$C$20="m",ABS((Tracking!R52/4-L$45)),ABS((Tracking!R52/4-L$48))))</f>
        <v/>
      </c>
      <c r="M88" s="48" t="str">
        <f>IF(Tracking!S52="","",IF(Person!$C$20="m",ABS((Tracking!S52/4-M$45)),ABS((Tracking!S52/4-M$48))))</f>
        <v/>
      </c>
      <c r="N88" s="48" t="str">
        <f>IF(Tracking!T52="","",IF(Person!$C$20="m",ABS((Tracking!T52/4-N$45)),ABS((Tracking!T52/4-N$48))))</f>
        <v/>
      </c>
      <c r="O88" s="48" t="str">
        <f>IF(Tracking!U52="","",IF(Person!$C$20="m",ABS((Tracking!U52/4-O$45)),ABS((Tracking!U52/4-O$48))))</f>
        <v/>
      </c>
      <c r="P88" s="48" t="str">
        <f>IF(Tracking!V52="","",IF(Person!$C$20="m",ABS((Tracking!V52/4-P$45)),ABS((Tracking!V52/4-P$48))))</f>
        <v/>
      </c>
      <c r="Q88" s="43"/>
      <c r="R88" s="48" t="str">
        <f t="shared" ref="R88:AD88" si="40">IF(ISERROR(LARGE($D88:$P88,R$44)),"",LARGE($D88:$P88,R$44))</f>
        <v/>
      </c>
      <c r="S88" s="48" t="str">
        <f t="shared" si="40"/>
        <v/>
      </c>
      <c r="T88" s="48" t="str">
        <f t="shared" si="40"/>
        <v/>
      </c>
      <c r="U88" s="48" t="str">
        <f t="shared" si="40"/>
        <v/>
      </c>
      <c r="V88" s="48" t="str">
        <f t="shared" si="40"/>
        <v/>
      </c>
      <c r="W88" s="48" t="str">
        <f t="shared" si="40"/>
        <v/>
      </c>
      <c r="X88" s="48" t="str">
        <f t="shared" si="40"/>
        <v/>
      </c>
      <c r="Y88" s="48" t="str">
        <f t="shared" si="40"/>
        <v/>
      </c>
      <c r="Z88" s="48" t="str">
        <f t="shared" si="40"/>
        <v/>
      </c>
      <c r="AA88" s="48" t="str">
        <f t="shared" si="40"/>
        <v/>
      </c>
      <c r="AB88" s="48" t="str">
        <f t="shared" si="40"/>
        <v/>
      </c>
      <c r="AC88" s="48" t="str">
        <f t="shared" si="40"/>
        <v/>
      </c>
      <c r="AD88" s="48" t="str">
        <f t="shared" si="40"/>
        <v/>
      </c>
    </row>
    <row r="89" spans="1:30" ht="13.5" customHeight="1">
      <c r="A89" s="26"/>
      <c r="B89" s="26"/>
      <c r="C89" s="26"/>
      <c r="D89" s="49" t="str">
        <f t="shared" ref="D89:P89" si="41">IF(D88="","",IF(D88=$R88,1,IF(D88=$S88,2,IF(D88=$T88,3,IF(D88=$U88,4,IF(D88=$V88,5,IF(D88=$W88,6,IF(D88=$X88,7,IF(D88=$Y88,8,IF(D88=$Z88,9,IF(D88=$AA88,10,IF(D88=$AB88,11,IF(D88=$AC88,12,IF(D88=$AD88,13))))))))))))))</f>
        <v/>
      </c>
      <c r="E89" s="49" t="str">
        <f t="shared" si="41"/>
        <v/>
      </c>
      <c r="F89" s="49" t="str">
        <f t="shared" si="41"/>
        <v/>
      </c>
      <c r="G89" s="49" t="str">
        <f t="shared" si="41"/>
        <v/>
      </c>
      <c r="H89" s="49" t="str">
        <f t="shared" si="41"/>
        <v/>
      </c>
      <c r="I89" s="49" t="str">
        <f t="shared" si="41"/>
        <v/>
      </c>
      <c r="J89" s="49" t="str">
        <f t="shared" si="41"/>
        <v/>
      </c>
      <c r="K89" s="49" t="str">
        <f t="shared" si="41"/>
        <v/>
      </c>
      <c r="L89" s="49" t="str">
        <f t="shared" si="41"/>
        <v/>
      </c>
      <c r="M89" s="49" t="str">
        <f t="shared" si="41"/>
        <v/>
      </c>
      <c r="N89" s="49" t="str">
        <f t="shared" si="41"/>
        <v/>
      </c>
      <c r="O89" s="49" t="str">
        <f t="shared" si="41"/>
        <v/>
      </c>
      <c r="P89" s="49" t="str">
        <f t="shared" si="41"/>
        <v/>
      </c>
      <c r="Q89" s="43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</row>
    <row r="90" spans="1:30" ht="13.5" customHeight="1">
      <c r="A90" s="26"/>
      <c r="B90" s="26"/>
      <c r="C90" s="26"/>
      <c r="D90" s="48" t="str">
        <f>IF(Tracking!J54="","",IF(Person!$C$20="m",ABS((Tracking!J54/4-D$45)),ABS((Tracking!J54/4-D$48))))</f>
        <v/>
      </c>
      <c r="E90" s="48" t="str">
        <f>IF(Tracking!K54="","",IF(Person!$C$20="m",ABS((Tracking!K54/4-E$45)),ABS((Tracking!K54/4-E$48))))</f>
        <v/>
      </c>
      <c r="F90" s="48" t="str">
        <f>IF(Tracking!L54="","",IF(Person!$C$20="m",ABS((Tracking!L54/4-F$45)),ABS((Tracking!L54/4-F$48))))</f>
        <v/>
      </c>
      <c r="G90" s="48" t="str">
        <f>IF(Tracking!M54="","",IF(Person!$C$20="m",ABS((Tracking!M54/4-G$45)),ABS((Tracking!M54/4-G$48))))</f>
        <v/>
      </c>
      <c r="H90" s="48" t="str">
        <f>IF(Tracking!N54="","",IF(Person!$C$20="m",ABS((Tracking!N54/4-H$45)),ABS((Tracking!N54/4-H$48))))</f>
        <v/>
      </c>
      <c r="I90" s="48" t="str">
        <f>IF(Tracking!O54="","",IF(Person!$C$20="m",ABS((Tracking!O54/4-I$45)),ABS((Tracking!O54/4-I$48))))</f>
        <v/>
      </c>
      <c r="J90" s="48" t="str">
        <f>IF(Tracking!P54="","",IF(Person!$C$20="m",ABS((Tracking!P54/4-J$45)),ABS((Tracking!P54/4-J$48))))</f>
        <v/>
      </c>
      <c r="K90" s="48" t="str">
        <f>IF(Tracking!Q54="","",IF(Person!$C$20="m",ABS((Tracking!Q54/4-K$45)),ABS((Tracking!Q54/4-K$48))))</f>
        <v/>
      </c>
      <c r="L90" s="48" t="str">
        <f>IF(Tracking!R54="","",IF(Person!$C$20="m",ABS((Tracking!R54/4-L$45)),ABS((Tracking!R54/4-L$48))))</f>
        <v/>
      </c>
      <c r="M90" s="48" t="str">
        <f>IF(Tracking!S54="","",IF(Person!$C$20="m",ABS((Tracking!S54/4-M$45)),ABS((Tracking!S54/4-M$48))))</f>
        <v/>
      </c>
      <c r="N90" s="48" t="str">
        <f>IF(Tracking!T54="","",IF(Person!$C$20="m",ABS((Tracking!T54/4-N$45)),ABS((Tracking!T54/4-N$48))))</f>
        <v/>
      </c>
      <c r="O90" s="48" t="str">
        <f>IF(Tracking!U54="","",IF(Person!$C$20="m",ABS((Tracking!U54/4-O$45)),ABS((Tracking!U54/4-O$48))))</f>
        <v/>
      </c>
      <c r="P90" s="48" t="str">
        <f>IF(Tracking!V54="","",IF(Person!$C$20="m",ABS((Tracking!V54/4-P$45)),ABS((Tracking!V54/4-P$48))))</f>
        <v/>
      </c>
      <c r="Q90" s="43"/>
      <c r="R90" s="48" t="str">
        <f t="shared" ref="R90:AD90" si="42">IF(ISERROR(LARGE($D90:$P90,R$44)),"",LARGE($D90:$P90,R$44))</f>
        <v/>
      </c>
      <c r="S90" s="48" t="str">
        <f t="shared" si="42"/>
        <v/>
      </c>
      <c r="T90" s="48" t="str">
        <f t="shared" si="42"/>
        <v/>
      </c>
      <c r="U90" s="48" t="str">
        <f t="shared" si="42"/>
        <v/>
      </c>
      <c r="V90" s="48" t="str">
        <f t="shared" si="42"/>
        <v/>
      </c>
      <c r="W90" s="48" t="str">
        <f t="shared" si="42"/>
        <v/>
      </c>
      <c r="X90" s="48" t="str">
        <f t="shared" si="42"/>
        <v/>
      </c>
      <c r="Y90" s="48" t="str">
        <f t="shared" si="42"/>
        <v/>
      </c>
      <c r="Z90" s="48" t="str">
        <f t="shared" si="42"/>
        <v/>
      </c>
      <c r="AA90" s="48" t="str">
        <f t="shared" si="42"/>
        <v/>
      </c>
      <c r="AB90" s="48" t="str">
        <f t="shared" si="42"/>
        <v/>
      </c>
      <c r="AC90" s="48" t="str">
        <f t="shared" si="42"/>
        <v/>
      </c>
      <c r="AD90" s="48" t="str">
        <f t="shared" si="42"/>
        <v/>
      </c>
    </row>
    <row r="91" spans="1:30" ht="13.5" customHeight="1">
      <c r="A91" s="26"/>
      <c r="B91" s="26"/>
      <c r="C91" s="26"/>
      <c r="D91" s="49" t="str">
        <f t="shared" ref="D91:P91" si="43">IF(D90="","",IF(D90=$R90,1,IF(D90=$S90,2,IF(D90=$T90,3,IF(D90=$U90,4,IF(D90=$V90,5,IF(D90=$W90,6,IF(D90=$X90,7,IF(D90=$Y90,8,IF(D90=$Z90,9,IF(D90=$AA90,10,IF(D90=$AB90,11,IF(D90=$AC90,12,IF(D90=$AD90,13))))))))))))))</f>
        <v/>
      </c>
      <c r="E91" s="49" t="str">
        <f t="shared" si="43"/>
        <v/>
      </c>
      <c r="F91" s="49" t="str">
        <f t="shared" si="43"/>
        <v/>
      </c>
      <c r="G91" s="49" t="str">
        <f t="shared" si="43"/>
        <v/>
      </c>
      <c r="H91" s="49" t="str">
        <f t="shared" si="43"/>
        <v/>
      </c>
      <c r="I91" s="49" t="str">
        <f t="shared" si="43"/>
        <v/>
      </c>
      <c r="J91" s="49" t="str">
        <f t="shared" si="43"/>
        <v/>
      </c>
      <c r="K91" s="49" t="str">
        <f t="shared" si="43"/>
        <v/>
      </c>
      <c r="L91" s="49" t="str">
        <f t="shared" si="43"/>
        <v/>
      </c>
      <c r="M91" s="49" t="str">
        <f t="shared" si="43"/>
        <v/>
      </c>
      <c r="N91" s="49" t="str">
        <f t="shared" si="43"/>
        <v/>
      </c>
      <c r="O91" s="49" t="str">
        <f t="shared" si="43"/>
        <v/>
      </c>
      <c r="P91" s="49" t="str">
        <f t="shared" si="43"/>
        <v/>
      </c>
      <c r="Q91" s="43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</row>
    <row r="92" spans="1:30" ht="13.5" customHeight="1">
      <c r="A92" s="26"/>
      <c r="B92" s="26"/>
      <c r="C92" s="26"/>
      <c r="D92" s="48" t="str">
        <f>IF(Tracking!J56="","",IF(Person!$C$20="m",ABS((Tracking!J56/4-D$45)),ABS((Tracking!J56/4-D$48))))</f>
        <v/>
      </c>
      <c r="E92" s="48" t="str">
        <f>IF(Tracking!K56="","",IF(Person!$C$20="m",ABS((Tracking!K56/4-E$45)),ABS((Tracking!K56/4-E$48))))</f>
        <v/>
      </c>
      <c r="F92" s="48" t="str">
        <f>IF(Tracking!L56="","",IF(Person!$C$20="m",ABS((Tracking!L56/4-F$45)),ABS((Tracking!L56/4-F$48))))</f>
        <v/>
      </c>
      <c r="G92" s="48" t="str">
        <f>IF(Tracking!M56="","",IF(Person!$C$20="m",ABS((Tracking!M56/4-G$45)),ABS((Tracking!M56/4-G$48))))</f>
        <v/>
      </c>
      <c r="H92" s="48" t="str">
        <f>IF(Tracking!N56="","",IF(Person!$C$20="m",ABS((Tracking!N56/4-H$45)),ABS((Tracking!N56/4-H$48))))</f>
        <v/>
      </c>
      <c r="I92" s="48" t="str">
        <f>IF(Tracking!O56="","",IF(Person!$C$20="m",ABS((Tracking!O56/4-I$45)),ABS((Tracking!O56/4-I$48))))</f>
        <v/>
      </c>
      <c r="J92" s="48" t="str">
        <f>IF(Tracking!P56="","",IF(Person!$C$20="m",ABS((Tracking!P56/4-J$45)),ABS((Tracking!P56/4-J$48))))</f>
        <v/>
      </c>
      <c r="K92" s="48" t="str">
        <f>IF(Tracking!Q56="","",IF(Person!$C$20="m",ABS((Tracking!Q56/4-K$45)),ABS((Tracking!Q56/4-K$48))))</f>
        <v/>
      </c>
      <c r="L92" s="48" t="str">
        <f>IF(Tracking!R56="","",IF(Person!$C$20="m",ABS((Tracking!R56/4-L$45)),ABS((Tracking!R56/4-L$48))))</f>
        <v/>
      </c>
      <c r="M92" s="48" t="str">
        <f>IF(Tracking!S56="","",IF(Person!$C$20="m",ABS((Tracking!S56/4-M$45)),ABS((Tracking!S56/4-M$48))))</f>
        <v/>
      </c>
      <c r="N92" s="48" t="str">
        <f>IF(Tracking!T56="","",IF(Person!$C$20="m",ABS((Tracking!T56/4-N$45)),ABS((Tracking!T56/4-N$48))))</f>
        <v/>
      </c>
      <c r="O92" s="48" t="str">
        <f>IF(Tracking!U56="","",IF(Person!$C$20="m",ABS((Tracking!U56/4-O$45)),ABS((Tracking!U56/4-O$48))))</f>
        <v/>
      </c>
      <c r="P92" s="48" t="str">
        <f>IF(Tracking!V56="","",IF(Person!$C$20="m",ABS((Tracking!V56/4-P$45)),ABS((Tracking!V56/4-P$48))))</f>
        <v/>
      </c>
      <c r="Q92" s="43"/>
      <c r="R92" s="48" t="str">
        <f t="shared" ref="R92:AD92" si="44">IF(ISERROR(LARGE($D92:$P92,R$44)),"",LARGE($D92:$P92,R$44))</f>
        <v/>
      </c>
      <c r="S92" s="48" t="str">
        <f t="shared" si="44"/>
        <v/>
      </c>
      <c r="T92" s="48" t="str">
        <f t="shared" si="44"/>
        <v/>
      </c>
      <c r="U92" s="48" t="str">
        <f t="shared" si="44"/>
        <v/>
      </c>
      <c r="V92" s="48" t="str">
        <f t="shared" si="44"/>
        <v/>
      </c>
      <c r="W92" s="48" t="str">
        <f t="shared" si="44"/>
        <v/>
      </c>
      <c r="X92" s="48" t="str">
        <f t="shared" si="44"/>
        <v/>
      </c>
      <c r="Y92" s="48" t="str">
        <f t="shared" si="44"/>
        <v/>
      </c>
      <c r="Z92" s="48" t="str">
        <f t="shared" si="44"/>
        <v/>
      </c>
      <c r="AA92" s="48" t="str">
        <f t="shared" si="44"/>
        <v/>
      </c>
      <c r="AB92" s="48" t="str">
        <f t="shared" si="44"/>
        <v/>
      </c>
      <c r="AC92" s="48" t="str">
        <f t="shared" si="44"/>
        <v/>
      </c>
      <c r="AD92" s="48" t="str">
        <f t="shared" si="44"/>
        <v/>
      </c>
    </row>
    <row r="93" spans="1:30" ht="13.5" customHeight="1">
      <c r="A93" s="26"/>
      <c r="B93" s="26"/>
      <c r="C93" s="26"/>
      <c r="D93" s="49" t="str">
        <f t="shared" ref="D93:P93" si="45">IF(D92="","",IF(D92=$R92,1,IF(D92=$S92,2,IF(D92=$T92,3,IF(D92=$U92,4,IF(D92=$V92,5,IF(D92=$W92,6,IF(D92=$X92,7,IF(D92=$Y92,8,IF(D92=$Z92,9,IF(D92=$AA92,10,IF(D92=$AB92,11,IF(D92=$AC92,12,IF(D92=$AD92,13))))))))))))))</f>
        <v/>
      </c>
      <c r="E93" s="49" t="str">
        <f t="shared" si="45"/>
        <v/>
      </c>
      <c r="F93" s="49" t="str">
        <f t="shared" si="45"/>
        <v/>
      </c>
      <c r="G93" s="49" t="str">
        <f t="shared" si="45"/>
        <v/>
      </c>
      <c r="H93" s="49" t="str">
        <f t="shared" si="45"/>
        <v/>
      </c>
      <c r="I93" s="49" t="str">
        <f t="shared" si="45"/>
        <v/>
      </c>
      <c r="J93" s="49" t="str">
        <f t="shared" si="45"/>
        <v/>
      </c>
      <c r="K93" s="49" t="str">
        <f t="shared" si="45"/>
        <v/>
      </c>
      <c r="L93" s="49" t="str">
        <f t="shared" si="45"/>
        <v/>
      </c>
      <c r="M93" s="49" t="str">
        <f t="shared" si="45"/>
        <v/>
      </c>
      <c r="N93" s="49" t="str">
        <f t="shared" si="45"/>
        <v/>
      </c>
      <c r="O93" s="49" t="str">
        <f t="shared" si="45"/>
        <v/>
      </c>
      <c r="P93" s="49" t="str">
        <f t="shared" si="45"/>
        <v/>
      </c>
      <c r="Q93" s="43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</row>
    <row r="94" spans="1:30" ht="13.5" customHeight="1">
      <c r="A94" s="26"/>
      <c r="B94" s="26"/>
      <c r="C94" s="26"/>
      <c r="D94" s="48" t="str">
        <f>IF(Tracking!J58="","",IF(Person!$C$20="m",ABS((Tracking!J58/4-D$45)),ABS((Tracking!J58/4-D$48))))</f>
        <v/>
      </c>
      <c r="E94" s="48" t="str">
        <f>IF(Tracking!K58="","",IF(Person!$C$20="m",ABS((Tracking!K58/4-E$45)),ABS((Tracking!K58/4-E$48))))</f>
        <v/>
      </c>
      <c r="F94" s="48" t="str">
        <f>IF(Tracking!L58="","",IF(Person!$C$20="m",ABS((Tracking!L58/4-F$45)),ABS((Tracking!L58/4-F$48))))</f>
        <v/>
      </c>
      <c r="G94" s="48" t="str">
        <f>IF(Tracking!M58="","",IF(Person!$C$20="m",ABS((Tracking!M58/4-G$45)),ABS((Tracking!M58/4-G$48))))</f>
        <v/>
      </c>
      <c r="H94" s="48" t="str">
        <f>IF(Tracking!N58="","",IF(Person!$C$20="m",ABS((Tracking!N58/4-H$45)),ABS((Tracking!N58/4-H$48))))</f>
        <v/>
      </c>
      <c r="I94" s="48" t="str">
        <f>IF(Tracking!O58="","",IF(Person!$C$20="m",ABS((Tracking!O58/4-I$45)),ABS((Tracking!O58/4-I$48))))</f>
        <v/>
      </c>
      <c r="J94" s="48" t="str">
        <f>IF(Tracking!P58="","",IF(Person!$C$20="m",ABS((Tracking!P58/4-J$45)),ABS((Tracking!P58/4-J$48))))</f>
        <v/>
      </c>
      <c r="K94" s="48" t="str">
        <f>IF(Tracking!Q58="","",IF(Person!$C$20="m",ABS((Tracking!Q58/4-K$45)),ABS((Tracking!Q58/4-K$48))))</f>
        <v/>
      </c>
      <c r="L94" s="48" t="str">
        <f>IF(Tracking!R58="","",IF(Person!$C$20="m",ABS((Tracking!R58/4-L$45)),ABS((Tracking!R58/4-L$48))))</f>
        <v/>
      </c>
      <c r="M94" s="48" t="str">
        <f>IF(Tracking!S58="","",IF(Person!$C$20="m",ABS((Tracking!S58/4-M$45)),ABS((Tracking!S58/4-M$48))))</f>
        <v/>
      </c>
      <c r="N94" s="48" t="str">
        <f>IF(Tracking!T58="","",IF(Person!$C$20="m",ABS((Tracking!T58/4-N$45)),ABS((Tracking!T58/4-N$48))))</f>
        <v/>
      </c>
      <c r="O94" s="48" t="str">
        <f>IF(Tracking!U58="","",IF(Person!$C$20="m",ABS((Tracking!U58/4-O$45)),ABS((Tracking!U58/4-O$48))))</f>
        <v/>
      </c>
      <c r="P94" s="48" t="str">
        <f>IF(Tracking!V58="","",IF(Person!$C$20="m",ABS((Tracking!V58/4-P$45)),ABS((Tracking!V58/4-P$48))))</f>
        <v/>
      </c>
      <c r="Q94" s="43"/>
      <c r="R94" s="48" t="str">
        <f t="shared" ref="R94:AD94" si="46">IF(ISERROR(LARGE($D94:$P94,R$44)),"",LARGE($D94:$P94,R$44))</f>
        <v/>
      </c>
      <c r="S94" s="48" t="str">
        <f t="shared" si="46"/>
        <v/>
      </c>
      <c r="T94" s="48" t="str">
        <f t="shared" si="46"/>
        <v/>
      </c>
      <c r="U94" s="48" t="str">
        <f t="shared" si="46"/>
        <v/>
      </c>
      <c r="V94" s="48" t="str">
        <f t="shared" si="46"/>
        <v/>
      </c>
      <c r="W94" s="48" t="str">
        <f t="shared" si="46"/>
        <v/>
      </c>
      <c r="X94" s="48" t="str">
        <f t="shared" si="46"/>
        <v/>
      </c>
      <c r="Y94" s="48" t="str">
        <f t="shared" si="46"/>
        <v/>
      </c>
      <c r="Z94" s="48" t="str">
        <f t="shared" si="46"/>
        <v/>
      </c>
      <c r="AA94" s="48" t="str">
        <f t="shared" si="46"/>
        <v/>
      </c>
      <c r="AB94" s="48" t="str">
        <f t="shared" si="46"/>
        <v/>
      </c>
      <c r="AC94" s="48" t="str">
        <f t="shared" si="46"/>
        <v/>
      </c>
      <c r="AD94" s="48" t="str">
        <f t="shared" si="46"/>
        <v/>
      </c>
    </row>
    <row r="95" spans="1:30" ht="13.5" customHeight="1">
      <c r="A95" s="26"/>
      <c r="B95" s="26"/>
      <c r="C95" s="26"/>
      <c r="D95" s="49" t="str">
        <f t="shared" ref="D95:P95" si="47">IF(D94="","",IF(D94=$R94,1,IF(D94=$S94,2,IF(D94=$T94,3,IF(D94=$U94,4,IF(D94=$V94,5,IF(D94=$W94,6,IF(D94=$X94,7,IF(D94=$Y94,8,IF(D94=$Z94,9,IF(D94=$AA94,10,IF(D94=$AB94,11,IF(D94=$AC94,12,IF(D94=$AD94,13))))))))))))))</f>
        <v/>
      </c>
      <c r="E95" s="49" t="str">
        <f t="shared" si="47"/>
        <v/>
      </c>
      <c r="F95" s="49" t="str">
        <f t="shared" si="47"/>
        <v/>
      </c>
      <c r="G95" s="49" t="str">
        <f t="shared" si="47"/>
        <v/>
      </c>
      <c r="H95" s="49" t="str">
        <f t="shared" si="47"/>
        <v/>
      </c>
      <c r="I95" s="49" t="str">
        <f t="shared" si="47"/>
        <v/>
      </c>
      <c r="J95" s="49" t="str">
        <f t="shared" si="47"/>
        <v/>
      </c>
      <c r="K95" s="49" t="str">
        <f t="shared" si="47"/>
        <v/>
      </c>
      <c r="L95" s="49" t="str">
        <f t="shared" si="47"/>
        <v/>
      </c>
      <c r="M95" s="49" t="str">
        <f t="shared" si="47"/>
        <v/>
      </c>
      <c r="N95" s="49" t="str">
        <f t="shared" si="47"/>
        <v/>
      </c>
      <c r="O95" s="49" t="str">
        <f t="shared" si="47"/>
        <v/>
      </c>
      <c r="P95" s="49" t="str">
        <f t="shared" si="47"/>
        <v/>
      </c>
      <c r="Q95" s="43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</row>
    <row r="96" spans="1:30" ht="13.5" customHeight="1">
      <c r="A96" s="26"/>
      <c r="B96" s="26"/>
      <c r="C96" s="26"/>
      <c r="D96" s="48" t="str">
        <f>IF(Tracking!J60="","",IF(Person!$C$20="m",ABS((Tracking!J60/4-D$45)),ABS((Tracking!J60/4-D$48))))</f>
        <v/>
      </c>
      <c r="E96" s="48" t="str">
        <f>IF(Tracking!K60="","",IF(Person!$C$20="m",ABS((Tracking!K60/4-E$45)),ABS((Tracking!K60/4-E$48))))</f>
        <v/>
      </c>
      <c r="F96" s="48" t="str">
        <f>IF(Tracking!L60="","",IF(Person!$C$20="m",ABS((Tracking!L60/4-F$45)),ABS((Tracking!L60/4-F$48))))</f>
        <v/>
      </c>
      <c r="G96" s="48" t="str">
        <f>IF(Tracking!M60="","",IF(Person!$C$20="m",ABS((Tracking!M60/4-G$45)),ABS((Tracking!M60/4-G$48))))</f>
        <v/>
      </c>
      <c r="H96" s="48" t="str">
        <f>IF(Tracking!N60="","",IF(Person!$C$20="m",ABS((Tracking!N60/4-H$45)),ABS((Tracking!N60/4-H$48))))</f>
        <v/>
      </c>
      <c r="I96" s="48" t="str">
        <f>IF(Tracking!O60="","",IF(Person!$C$20="m",ABS((Tracking!O60/4-I$45)),ABS((Tracking!O60/4-I$48))))</f>
        <v/>
      </c>
      <c r="J96" s="48" t="str">
        <f>IF(Tracking!P60="","",IF(Person!$C$20="m",ABS((Tracking!P60/4-J$45)),ABS((Tracking!P60/4-J$48))))</f>
        <v/>
      </c>
      <c r="K96" s="48" t="str">
        <f>IF(Tracking!Q60="","",IF(Person!$C$20="m",ABS((Tracking!Q60/4-K$45)),ABS((Tracking!Q60/4-K$48))))</f>
        <v/>
      </c>
      <c r="L96" s="48" t="str">
        <f>IF(Tracking!R60="","",IF(Person!$C$20="m",ABS((Tracking!R60/4-L$45)),ABS((Tracking!R60/4-L$48))))</f>
        <v/>
      </c>
      <c r="M96" s="48" t="str">
        <f>IF(Tracking!S60="","",IF(Person!$C$20="m",ABS((Tracking!S60/4-M$45)),ABS((Tracking!S60/4-M$48))))</f>
        <v/>
      </c>
      <c r="N96" s="48" t="str">
        <f>IF(Tracking!T60="","",IF(Person!$C$20="m",ABS((Tracking!T60/4-N$45)),ABS((Tracking!T60/4-N$48))))</f>
        <v/>
      </c>
      <c r="O96" s="48" t="str">
        <f>IF(Tracking!U60="","",IF(Person!$C$20="m",ABS((Tracking!U60/4-O$45)),ABS((Tracking!U60/4-O$48))))</f>
        <v/>
      </c>
      <c r="P96" s="48" t="str">
        <f>IF(Tracking!V60="","",IF(Person!$C$20="m",ABS((Tracking!V60/4-P$45)),ABS((Tracking!V60/4-P$48))))</f>
        <v/>
      </c>
      <c r="Q96" s="43"/>
      <c r="R96" s="48" t="str">
        <f t="shared" ref="R96:AD96" si="48">IF(ISERROR(LARGE($D96:$P96,R$44)),"",LARGE($D96:$P96,R$44))</f>
        <v/>
      </c>
      <c r="S96" s="48" t="str">
        <f t="shared" si="48"/>
        <v/>
      </c>
      <c r="T96" s="48" t="str">
        <f t="shared" si="48"/>
        <v/>
      </c>
      <c r="U96" s="48" t="str">
        <f t="shared" si="48"/>
        <v/>
      </c>
      <c r="V96" s="48" t="str">
        <f t="shared" si="48"/>
        <v/>
      </c>
      <c r="W96" s="48" t="str">
        <f t="shared" si="48"/>
        <v/>
      </c>
      <c r="X96" s="48" t="str">
        <f t="shared" si="48"/>
        <v/>
      </c>
      <c r="Y96" s="48" t="str">
        <f t="shared" si="48"/>
        <v/>
      </c>
      <c r="Z96" s="48" t="str">
        <f t="shared" si="48"/>
        <v/>
      </c>
      <c r="AA96" s="48" t="str">
        <f t="shared" si="48"/>
        <v/>
      </c>
      <c r="AB96" s="48" t="str">
        <f t="shared" si="48"/>
        <v/>
      </c>
      <c r="AC96" s="48" t="str">
        <f t="shared" si="48"/>
        <v/>
      </c>
      <c r="AD96" s="48" t="str">
        <f t="shared" si="48"/>
        <v/>
      </c>
    </row>
    <row r="97" spans="1:30" ht="13.5" customHeight="1">
      <c r="A97" s="26"/>
      <c r="B97" s="26"/>
      <c r="C97" s="26"/>
      <c r="D97" s="49" t="str">
        <f t="shared" ref="D97:P97" si="49">IF(D96="","",IF(D96=$R96,1,IF(D96=$S96,2,IF(D96=$T96,3,IF(D96=$U96,4,IF(D96=$V96,5,IF(D96=$W96,6,IF(D96=$X96,7,IF(D96=$Y96,8,IF(D96=$Z96,9,IF(D96=$AA96,10,IF(D96=$AB96,11,IF(D96=$AC96,12,IF(D96=$AD96,13))))))))))))))</f>
        <v/>
      </c>
      <c r="E97" s="49" t="str">
        <f t="shared" si="49"/>
        <v/>
      </c>
      <c r="F97" s="49" t="str">
        <f t="shared" si="49"/>
        <v/>
      </c>
      <c r="G97" s="49" t="str">
        <f t="shared" si="49"/>
        <v/>
      </c>
      <c r="H97" s="49" t="str">
        <f t="shared" si="49"/>
        <v/>
      </c>
      <c r="I97" s="49" t="str">
        <f t="shared" si="49"/>
        <v/>
      </c>
      <c r="J97" s="49" t="str">
        <f t="shared" si="49"/>
        <v/>
      </c>
      <c r="K97" s="49" t="str">
        <f t="shared" si="49"/>
        <v/>
      </c>
      <c r="L97" s="49" t="str">
        <f t="shared" si="49"/>
        <v/>
      </c>
      <c r="M97" s="49" t="str">
        <f t="shared" si="49"/>
        <v/>
      </c>
      <c r="N97" s="49" t="str">
        <f t="shared" si="49"/>
        <v/>
      </c>
      <c r="O97" s="49" t="str">
        <f t="shared" si="49"/>
        <v/>
      </c>
      <c r="P97" s="49" t="str">
        <f t="shared" si="49"/>
        <v/>
      </c>
      <c r="Q97" s="43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</row>
    <row r="98" spans="1:30" ht="13.5" customHeight="1">
      <c r="A98" s="26"/>
      <c r="B98" s="26"/>
      <c r="C98" s="26"/>
      <c r="D98" s="48" t="str">
        <f>IF(Tracking!J62="","",IF(Person!$C$20="m",ABS((Tracking!J62/4-D$45)),ABS((Tracking!J62/4-D$48))))</f>
        <v/>
      </c>
      <c r="E98" s="48" t="str">
        <f>IF(Tracking!K62="","",IF(Person!$C$20="m",ABS((Tracking!K62/4-E$45)),ABS((Tracking!K62/4-E$48))))</f>
        <v/>
      </c>
      <c r="F98" s="48" t="str">
        <f>IF(Tracking!L62="","",IF(Person!$C$20="m",ABS((Tracking!L62/4-F$45)),ABS((Tracking!L62/4-F$48))))</f>
        <v/>
      </c>
      <c r="G98" s="48" t="str">
        <f>IF(Tracking!M62="","",IF(Person!$C$20="m",ABS((Tracking!M62/4-G$45)),ABS((Tracking!M62/4-G$48))))</f>
        <v/>
      </c>
      <c r="H98" s="48" t="str">
        <f>IF(Tracking!N62="","",IF(Person!$C$20="m",ABS((Tracking!N62/4-H$45)),ABS((Tracking!N62/4-H$48))))</f>
        <v/>
      </c>
      <c r="I98" s="48" t="str">
        <f>IF(Tracking!O62="","",IF(Person!$C$20="m",ABS((Tracking!O62/4-I$45)),ABS((Tracking!O62/4-I$48))))</f>
        <v/>
      </c>
      <c r="J98" s="48" t="str">
        <f>IF(Tracking!P62="","",IF(Person!$C$20="m",ABS((Tracking!P62/4-J$45)),ABS((Tracking!P62/4-J$48))))</f>
        <v/>
      </c>
      <c r="K98" s="48" t="str">
        <f>IF(Tracking!Q62="","",IF(Person!$C$20="m",ABS((Tracking!Q62/4-K$45)),ABS((Tracking!Q62/4-K$48))))</f>
        <v/>
      </c>
      <c r="L98" s="48" t="str">
        <f>IF(Tracking!R62="","",IF(Person!$C$20="m",ABS((Tracking!R62/4-L$45)),ABS((Tracking!R62/4-L$48))))</f>
        <v/>
      </c>
      <c r="M98" s="48" t="str">
        <f>IF(Tracking!S62="","",IF(Person!$C$20="m",ABS((Tracking!S62/4-M$45)),ABS((Tracking!S62/4-M$48))))</f>
        <v/>
      </c>
      <c r="N98" s="48" t="str">
        <f>IF(Tracking!T62="","",IF(Person!$C$20="m",ABS((Tracking!T62/4-N$45)),ABS((Tracking!T62/4-N$48))))</f>
        <v/>
      </c>
      <c r="O98" s="48" t="str">
        <f>IF(Tracking!U62="","",IF(Person!$C$20="m",ABS((Tracking!U62/4-O$45)),ABS((Tracking!U62/4-O$48))))</f>
        <v/>
      </c>
      <c r="P98" s="48" t="str">
        <f>IF(Tracking!V62="","",IF(Person!$C$20="m",ABS((Tracking!V62/4-P$45)),ABS((Tracking!V62/4-P$48))))</f>
        <v/>
      </c>
      <c r="Q98" s="43"/>
      <c r="R98" s="48" t="str">
        <f t="shared" ref="R98:AD98" si="50">IF(ISERROR(LARGE($D98:$P98,R$44)),"",LARGE($D98:$P98,R$44))</f>
        <v/>
      </c>
      <c r="S98" s="48" t="str">
        <f t="shared" si="50"/>
        <v/>
      </c>
      <c r="T98" s="48" t="str">
        <f t="shared" si="50"/>
        <v/>
      </c>
      <c r="U98" s="48" t="str">
        <f t="shared" si="50"/>
        <v/>
      </c>
      <c r="V98" s="48" t="str">
        <f t="shared" si="50"/>
        <v/>
      </c>
      <c r="W98" s="48" t="str">
        <f t="shared" si="50"/>
        <v/>
      </c>
      <c r="X98" s="48" t="str">
        <f t="shared" si="50"/>
        <v/>
      </c>
      <c r="Y98" s="48" t="str">
        <f t="shared" si="50"/>
        <v/>
      </c>
      <c r="Z98" s="48" t="str">
        <f t="shared" si="50"/>
        <v/>
      </c>
      <c r="AA98" s="48" t="str">
        <f t="shared" si="50"/>
        <v/>
      </c>
      <c r="AB98" s="48" t="str">
        <f t="shared" si="50"/>
        <v/>
      </c>
      <c r="AC98" s="48" t="str">
        <f t="shared" si="50"/>
        <v/>
      </c>
      <c r="AD98" s="48" t="str">
        <f t="shared" si="50"/>
        <v/>
      </c>
    </row>
    <row r="99" spans="1:30" ht="13.5" customHeight="1">
      <c r="A99" s="26"/>
      <c r="B99" s="26"/>
      <c r="C99" s="26"/>
      <c r="D99" s="49" t="str">
        <f t="shared" ref="D99:P99" si="51">IF(D98="","",IF(D98=$R98,1,IF(D98=$S98,2,IF(D98=$T98,3,IF(D98=$U98,4,IF(D98=$V98,5,IF(D98=$W98,6,IF(D98=$X98,7,IF(D98=$Y98,8,IF(D98=$Z98,9,IF(D98=$AA98,10,IF(D98=$AB98,11,IF(D98=$AC98,12,IF(D98=$AD98,13))))))))))))))</f>
        <v/>
      </c>
      <c r="E99" s="49" t="str">
        <f t="shared" si="51"/>
        <v/>
      </c>
      <c r="F99" s="49" t="str">
        <f t="shared" si="51"/>
        <v/>
      </c>
      <c r="G99" s="49" t="str">
        <f t="shared" si="51"/>
        <v/>
      </c>
      <c r="H99" s="49" t="str">
        <f t="shared" si="51"/>
        <v/>
      </c>
      <c r="I99" s="49" t="str">
        <f t="shared" si="51"/>
        <v/>
      </c>
      <c r="J99" s="49" t="str">
        <f t="shared" si="51"/>
        <v/>
      </c>
      <c r="K99" s="49" t="str">
        <f t="shared" si="51"/>
        <v/>
      </c>
      <c r="L99" s="49" t="str">
        <f t="shared" si="51"/>
        <v/>
      </c>
      <c r="M99" s="49" t="str">
        <f t="shared" si="51"/>
        <v/>
      </c>
      <c r="N99" s="49" t="str">
        <f t="shared" si="51"/>
        <v/>
      </c>
      <c r="O99" s="49" t="str">
        <f t="shared" si="51"/>
        <v/>
      </c>
      <c r="P99" s="49" t="str">
        <f t="shared" si="51"/>
        <v/>
      </c>
      <c r="Q99" s="43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</row>
    <row r="100" spans="1:30" ht="13.5" customHeight="1">
      <c r="A100" s="26"/>
      <c r="B100" s="26"/>
      <c r="C100" s="26"/>
      <c r="D100" s="48" t="str">
        <f>IF(Tracking!J64="","",IF(Person!$C$20="m",ABS((Tracking!J64/4-D$45)),ABS((Tracking!J64/4-D$48))))</f>
        <v/>
      </c>
      <c r="E100" s="48" t="str">
        <f>IF(Tracking!K64="","",IF(Person!$C$20="m",ABS((Tracking!K64/4-E$45)),ABS((Tracking!K64/4-E$48))))</f>
        <v/>
      </c>
      <c r="F100" s="48" t="str">
        <f>IF(Tracking!L64="","",IF(Person!$C$20="m",ABS((Tracking!L64/4-F$45)),ABS((Tracking!L64/4-F$48))))</f>
        <v/>
      </c>
      <c r="G100" s="48" t="str">
        <f>IF(Tracking!M64="","",IF(Person!$C$20="m",ABS((Tracking!M64/4-G$45)),ABS((Tracking!M64/4-G$48))))</f>
        <v/>
      </c>
      <c r="H100" s="48" t="str">
        <f>IF(Tracking!N64="","",IF(Person!$C$20="m",ABS((Tracking!N64/4-H$45)),ABS((Tracking!N64/4-H$48))))</f>
        <v/>
      </c>
      <c r="I100" s="48" t="str">
        <f>IF(Tracking!O64="","",IF(Person!$C$20="m",ABS((Tracking!O64/4-I$45)),ABS((Tracking!O64/4-I$48))))</f>
        <v/>
      </c>
      <c r="J100" s="48" t="str">
        <f>IF(Tracking!P64="","",IF(Person!$C$20="m",ABS((Tracking!P64/4-J$45)),ABS((Tracking!P64/4-J$48))))</f>
        <v/>
      </c>
      <c r="K100" s="48" t="str">
        <f>IF(Tracking!Q64="","",IF(Person!$C$20="m",ABS((Tracking!Q64/4-K$45)),ABS((Tracking!Q64/4-K$48))))</f>
        <v/>
      </c>
      <c r="L100" s="48" t="str">
        <f>IF(Tracking!R64="","",IF(Person!$C$20="m",ABS((Tracking!R64/4-L$45)),ABS((Tracking!R64/4-L$48))))</f>
        <v/>
      </c>
      <c r="M100" s="48" t="str">
        <f>IF(Tracking!S64="","",IF(Person!$C$20="m",ABS((Tracking!S64/4-M$45)),ABS((Tracking!S64/4-M$48))))</f>
        <v/>
      </c>
      <c r="N100" s="48" t="str">
        <f>IF(Tracking!T64="","",IF(Person!$C$20="m",ABS((Tracking!T64/4-N$45)),ABS((Tracking!T64/4-N$48))))</f>
        <v/>
      </c>
      <c r="O100" s="48" t="str">
        <f>IF(Tracking!U64="","",IF(Person!$C$20="m",ABS((Tracking!U64/4-O$45)),ABS((Tracking!U64/4-O$48))))</f>
        <v/>
      </c>
      <c r="P100" s="48" t="str">
        <f>IF(Tracking!V64="","",IF(Person!$C$20="m",ABS((Tracking!V64/4-P$45)),ABS((Tracking!V64/4-P$48))))</f>
        <v/>
      </c>
      <c r="Q100" s="43"/>
      <c r="R100" s="48" t="str">
        <f t="shared" ref="R100:AD100" si="52">IF(ISERROR(LARGE($D100:$P100,R$44)),"",LARGE($D100:$P100,R$44))</f>
        <v/>
      </c>
      <c r="S100" s="48" t="str">
        <f t="shared" si="52"/>
        <v/>
      </c>
      <c r="T100" s="48" t="str">
        <f t="shared" si="52"/>
        <v/>
      </c>
      <c r="U100" s="48" t="str">
        <f t="shared" si="52"/>
        <v/>
      </c>
      <c r="V100" s="48" t="str">
        <f t="shared" si="52"/>
        <v/>
      </c>
      <c r="W100" s="48" t="str">
        <f t="shared" si="52"/>
        <v/>
      </c>
      <c r="X100" s="48" t="str">
        <f t="shared" si="52"/>
        <v/>
      </c>
      <c r="Y100" s="48" t="str">
        <f t="shared" si="52"/>
        <v/>
      </c>
      <c r="Z100" s="48" t="str">
        <f t="shared" si="52"/>
        <v/>
      </c>
      <c r="AA100" s="48" t="str">
        <f t="shared" si="52"/>
        <v/>
      </c>
      <c r="AB100" s="48" t="str">
        <f t="shared" si="52"/>
        <v/>
      </c>
      <c r="AC100" s="48" t="str">
        <f t="shared" si="52"/>
        <v/>
      </c>
      <c r="AD100" s="48" t="str">
        <f t="shared" si="52"/>
        <v/>
      </c>
    </row>
    <row r="101" spans="1:30" ht="13.5" customHeight="1">
      <c r="A101" s="26"/>
      <c r="B101" s="26"/>
      <c r="C101" s="26"/>
      <c r="D101" s="49" t="str">
        <f t="shared" ref="D101:P101" si="53">IF(D100="","",IF(D100=$R100,1,IF(D100=$S100,2,IF(D100=$T100,3,IF(D100=$U100,4,IF(D100=$V100,5,IF(D100=$W100,6,IF(D100=$X100,7,IF(D100=$Y100,8,IF(D100=$Z100,9,IF(D100=$AA100,10,IF(D100=$AB100,11,IF(D100=$AC100,12,IF(D100=$AD100,13))))))))))))))</f>
        <v/>
      </c>
      <c r="E101" s="49" t="str">
        <f t="shared" si="53"/>
        <v/>
      </c>
      <c r="F101" s="49" t="str">
        <f t="shared" si="53"/>
        <v/>
      </c>
      <c r="G101" s="49" t="str">
        <f t="shared" si="53"/>
        <v/>
      </c>
      <c r="H101" s="49" t="str">
        <f t="shared" si="53"/>
        <v/>
      </c>
      <c r="I101" s="49" t="str">
        <f t="shared" si="53"/>
        <v/>
      </c>
      <c r="J101" s="49" t="str">
        <f t="shared" si="53"/>
        <v/>
      </c>
      <c r="K101" s="49" t="str">
        <f t="shared" si="53"/>
        <v/>
      </c>
      <c r="L101" s="49" t="str">
        <f t="shared" si="53"/>
        <v/>
      </c>
      <c r="M101" s="49" t="str">
        <f t="shared" si="53"/>
        <v/>
      </c>
      <c r="N101" s="49" t="str">
        <f t="shared" si="53"/>
        <v/>
      </c>
      <c r="O101" s="49" t="str">
        <f t="shared" si="53"/>
        <v/>
      </c>
      <c r="P101" s="49" t="str">
        <f t="shared" si="53"/>
        <v/>
      </c>
      <c r="Q101" s="43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</row>
    <row r="102" spans="1:30" ht="13.5" customHeight="1">
      <c r="A102" s="26"/>
      <c r="B102" s="26"/>
      <c r="C102" s="26"/>
      <c r="D102" s="48" t="str">
        <f>IF(Tracking!J66="","",IF(Person!$C$20="m",ABS((Tracking!J66/4-D$45)),ABS((Tracking!J66/4-D$48))))</f>
        <v/>
      </c>
      <c r="E102" s="48" t="str">
        <f>IF(Tracking!K66="","",IF(Person!$C$20="m",ABS((Tracking!K66/4-E$45)),ABS((Tracking!K66/4-E$48))))</f>
        <v/>
      </c>
      <c r="F102" s="48" t="str">
        <f>IF(Tracking!L66="","",IF(Person!$C$20="m",ABS((Tracking!L66/4-F$45)),ABS((Tracking!L66/4-F$48))))</f>
        <v/>
      </c>
      <c r="G102" s="48" t="str">
        <f>IF(Tracking!M66="","",IF(Person!$C$20="m",ABS((Tracking!M66/4-G$45)),ABS((Tracking!M66/4-G$48))))</f>
        <v/>
      </c>
      <c r="H102" s="48" t="str">
        <f>IF(Tracking!N66="","",IF(Person!$C$20="m",ABS((Tracking!N66/4-H$45)),ABS((Tracking!N66/4-H$48))))</f>
        <v/>
      </c>
      <c r="I102" s="48" t="str">
        <f>IF(Tracking!O66="","",IF(Person!$C$20="m",ABS((Tracking!O66/4-I$45)),ABS((Tracking!O66/4-I$48))))</f>
        <v/>
      </c>
      <c r="J102" s="48" t="str">
        <f>IF(Tracking!P66="","",IF(Person!$C$20="m",ABS((Tracking!P66/4-J$45)),ABS((Tracking!P66/4-J$48))))</f>
        <v/>
      </c>
      <c r="K102" s="48" t="str">
        <f>IF(Tracking!Q66="","",IF(Person!$C$20="m",ABS((Tracking!Q66/4-K$45)),ABS((Tracking!Q66/4-K$48))))</f>
        <v/>
      </c>
      <c r="L102" s="48" t="str">
        <f>IF(Tracking!R66="","",IF(Person!$C$20="m",ABS((Tracking!R66/4-L$45)),ABS((Tracking!R66/4-L$48))))</f>
        <v/>
      </c>
      <c r="M102" s="48" t="str">
        <f>IF(Tracking!S66="","",IF(Person!$C$20="m",ABS((Tracking!S66/4-M$45)),ABS((Tracking!S66/4-M$48))))</f>
        <v/>
      </c>
      <c r="N102" s="48" t="str">
        <f>IF(Tracking!T66="","",IF(Person!$C$20="m",ABS((Tracking!T66/4-N$45)),ABS((Tracking!T66/4-N$48))))</f>
        <v/>
      </c>
      <c r="O102" s="48" t="str">
        <f>IF(Tracking!U66="","",IF(Person!$C$20="m",ABS((Tracking!U66/4-O$45)),ABS((Tracking!U66/4-O$48))))</f>
        <v/>
      </c>
      <c r="P102" s="48" t="str">
        <f>IF(Tracking!V66="","",IF(Person!$C$20="m",ABS((Tracking!V66/4-P$45)),ABS((Tracking!V66/4-P$48))))</f>
        <v/>
      </c>
      <c r="Q102" s="43"/>
      <c r="R102" s="48" t="str">
        <f t="shared" ref="R102:AD102" si="54">IF(ISERROR(LARGE($D102:$P102,R$44)),"",LARGE($D102:$P102,R$44))</f>
        <v/>
      </c>
      <c r="S102" s="48" t="str">
        <f t="shared" si="54"/>
        <v/>
      </c>
      <c r="T102" s="48" t="str">
        <f t="shared" si="54"/>
        <v/>
      </c>
      <c r="U102" s="48" t="str">
        <f t="shared" si="54"/>
        <v/>
      </c>
      <c r="V102" s="48" t="str">
        <f t="shared" si="54"/>
        <v/>
      </c>
      <c r="W102" s="48" t="str">
        <f t="shared" si="54"/>
        <v/>
      </c>
      <c r="X102" s="48" t="str">
        <f t="shared" si="54"/>
        <v/>
      </c>
      <c r="Y102" s="48" t="str">
        <f t="shared" si="54"/>
        <v/>
      </c>
      <c r="Z102" s="48" t="str">
        <f t="shared" si="54"/>
        <v/>
      </c>
      <c r="AA102" s="48" t="str">
        <f t="shared" si="54"/>
        <v/>
      </c>
      <c r="AB102" s="48" t="str">
        <f t="shared" si="54"/>
        <v/>
      </c>
      <c r="AC102" s="48" t="str">
        <f t="shared" si="54"/>
        <v/>
      </c>
      <c r="AD102" s="48" t="str">
        <f t="shared" si="54"/>
        <v/>
      </c>
    </row>
    <row r="103" spans="1:30" ht="13.5" customHeight="1">
      <c r="A103" s="26"/>
      <c r="B103" s="26"/>
      <c r="C103" s="26"/>
      <c r="D103" s="49" t="str">
        <f t="shared" ref="D103:P103" si="55">IF(D102="","",IF(D102=$R102,1,IF(D102=$S102,2,IF(D102=$T102,3,IF(D102=$U102,4,IF(D102=$V102,5,IF(D102=$W102,6,IF(D102=$X102,7,IF(D102=$Y102,8,IF(D102=$Z102,9,IF(D102=$AA102,10,IF(D102=$AB102,11,IF(D102=$AC102,12,IF(D102=$AD102,13))))))))))))))</f>
        <v/>
      </c>
      <c r="E103" s="49" t="str">
        <f t="shared" si="55"/>
        <v/>
      </c>
      <c r="F103" s="49" t="str">
        <f t="shared" si="55"/>
        <v/>
      </c>
      <c r="G103" s="49" t="str">
        <f t="shared" si="55"/>
        <v/>
      </c>
      <c r="H103" s="49" t="str">
        <f t="shared" si="55"/>
        <v/>
      </c>
      <c r="I103" s="49" t="str">
        <f t="shared" si="55"/>
        <v/>
      </c>
      <c r="J103" s="49" t="str">
        <f t="shared" si="55"/>
        <v/>
      </c>
      <c r="K103" s="49" t="str">
        <f t="shared" si="55"/>
        <v/>
      </c>
      <c r="L103" s="49" t="str">
        <f t="shared" si="55"/>
        <v/>
      </c>
      <c r="M103" s="49" t="str">
        <f t="shared" si="55"/>
        <v/>
      </c>
      <c r="N103" s="49" t="str">
        <f t="shared" si="55"/>
        <v/>
      </c>
      <c r="O103" s="49" t="str">
        <f t="shared" si="55"/>
        <v/>
      </c>
      <c r="P103" s="49" t="str">
        <f t="shared" si="55"/>
        <v/>
      </c>
      <c r="Q103" s="43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</row>
    <row r="104" spans="1:30" ht="13.5" customHeight="1">
      <c r="A104" s="26"/>
      <c r="B104" s="26"/>
      <c r="C104" s="26"/>
      <c r="D104" s="48" t="str">
        <f>IF(Tracking!J68="","",IF(Person!$C$20="m",ABS((Tracking!J68/4-D$45)),ABS((Tracking!J68/4-D$48))))</f>
        <v/>
      </c>
      <c r="E104" s="48" t="str">
        <f>IF(Tracking!K68="","",IF(Person!$C$20="m",ABS((Tracking!K68/4-E$45)),ABS((Tracking!K68/4-E$48))))</f>
        <v/>
      </c>
      <c r="F104" s="48" t="str">
        <f>IF(Tracking!L68="","",IF(Person!$C$20="m",ABS((Tracking!L68/4-F$45)),ABS((Tracking!L68/4-F$48))))</f>
        <v/>
      </c>
      <c r="G104" s="48" t="str">
        <f>IF(Tracking!M68="","",IF(Person!$C$20="m",ABS((Tracking!M68/4-G$45)),ABS((Tracking!M68/4-G$48))))</f>
        <v/>
      </c>
      <c r="H104" s="48" t="str">
        <f>IF(Tracking!N68="","",IF(Person!$C$20="m",ABS((Tracking!N68/4-H$45)),ABS((Tracking!N68/4-H$48))))</f>
        <v/>
      </c>
      <c r="I104" s="48" t="str">
        <f>IF(Tracking!O68="","",IF(Person!$C$20="m",ABS((Tracking!O68/4-I$45)),ABS((Tracking!O68/4-I$48))))</f>
        <v/>
      </c>
      <c r="J104" s="48" t="str">
        <f>IF(Tracking!P68="","",IF(Person!$C$20="m",ABS((Tracking!P68/4-J$45)),ABS((Tracking!P68/4-J$48))))</f>
        <v/>
      </c>
      <c r="K104" s="48" t="str">
        <f>IF(Tracking!Q68="","",IF(Person!$C$20="m",ABS((Tracking!Q68/4-K$45)),ABS((Tracking!Q68/4-K$48))))</f>
        <v/>
      </c>
      <c r="L104" s="48" t="str">
        <f>IF(Tracking!R68="","",IF(Person!$C$20="m",ABS((Tracking!R68/4-L$45)),ABS((Tracking!R68/4-L$48))))</f>
        <v/>
      </c>
      <c r="M104" s="48" t="str">
        <f>IF(Tracking!S68="","",IF(Person!$C$20="m",ABS((Tracking!S68/4-M$45)),ABS((Tracking!S68/4-M$48))))</f>
        <v/>
      </c>
      <c r="N104" s="48" t="str">
        <f>IF(Tracking!T68="","",IF(Person!$C$20="m",ABS((Tracking!T68/4-N$45)),ABS((Tracking!T68/4-N$48))))</f>
        <v/>
      </c>
      <c r="O104" s="48" t="str">
        <f>IF(Tracking!U68="","",IF(Person!$C$20="m",ABS((Tracking!U68/4-O$45)),ABS((Tracking!U68/4-O$48))))</f>
        <v/>
      </c>
      <c r="P104" s="48" t="str">
        <f>IF(Tracking!V68="","",IF(Person!$C$20="m",ABS((Tracking!V68/4-P$45)),ABS((Tracking!V68/4-P$48))))</f>
        <v/>
      </c>
      <c r="Q104" s="43"/>
      <c r="R104" s="48" t="str">
        <f t="shared" ref="R104:AD104" si="56">IF(ISERROR(LARGE($D104:$P104,R$44)),"",LARGE($D104:$P104,R$44))</f>
        <v/>
      </c>
      <c r="S104" s="48" t="str">
        <f t="shared" si="56"/>
        <v/>
      </c>
      <c r="T104" s="48" t="str">
        <f t="shared" si="56"/>
        <v/>
      </c>
      <c r="U104" s="48" t="str">
        <f t="shared" si="56"/>
        <v/>
      </c>
      <c r="V104" s="48" t="str">
        <f t="shared" si="56"/>
        <v/>
      </c>
      <c r="W104" s="48" t="str">
        <f t="shared" si="56"/>
        <v/>
      </c>
      <c r="X104" s="48" t="str">
        <f t="shared" si="56"/>
        <v/>
      </c>
      <c r="Y104" s="48" t="str">
        <f t="shared" si="56"/>
        <v/>
      </c>
      <c r="Z104" s="48" t="str">
        <f t="shared" si="56"/>
        <v/>
      </c>
      <c r="AA104" s="48" t="str">
        <f t="shared" si="56"/>
        <v/>
      </c>
      <c r="AB104" s="48" t="str">
        <f t="shared" si="56"/>
        <v/>
      </c>
      <c r="AC104" s="48" t="str">
        <f t="shared" si="56"/>
        <v/>
      </c>
      <c r="AD104" s="48" t="str">
        <f t="shared" si="56"/>
        <v/>
      </c>
    </row>
    <row r="105" spans="1:30" ht="13.5" customHeight="1">
      <c r="A105" s="26"/>
      <c r="B105" s="26"/>
      <c r="C105" s="26"/>
      <c r="D105" s="49" t="str">
        <f t="shared" ref="D105:P105" si="57">IF(D104="","",IF(D104=$R104,1,IF(D104=$S104,2,IF(D104=$T104,3,IF(D104=$U104,4,IF(D104=$V104,5,IF(D104=$W104,6,IF(D104=$X104,7,IF(D104=$Y104,8,IF(D104=$Z104,9,IF(D104=$AA104,10,IF(D104=$AB104,11,IF(D104=$AC104,12,IF(D104=$AD104,13))))))))))))))</f>
        <v/>
      </c>
      <c r="E105" s="49" t="str">
        <f t="shared" si="57"/>
        <v/>
      </c>
      <c r="F105" s="49" t="str">
        <f t="shared" si="57"/>
        <v/>
      </c>
      <c r="G105" s="49" t="str">
        <f t="shared" si="57"/>
        <v/>
      </c>
      <c r="H105" s="49" t="str">
        <f t="shared" si="57"/>
        <v/>
      </c>
      <c r="I105" s="49" t="str">
        <f t="shared" si="57"/>
        <v/>
      </c>
      <c r="J105" s="49" t="str">
        <f t="shared" si="57"/>
        <v/>
      </c>
      <c r="K105" s="49" t="str">
        <f t="shared" si="57"/>
        <v/>
      </c>
      <c r="L105" s="49" t="str">
        <f t="shared" si="57"/>
        <v/>
      </c>
      <c r="M105" s="49" t="str">
        <f t="shared" si="57"/>
        <v/>
      </c>
      <c r="N105" s="49" t="str">
        <f t="shared" si="57"/>
        <v/>
      </c>
      <c r="O105" s="49" t="str">
        <f t="shared" si="57"/>
        <v/>
      </c>
      <c r="P105" s="49" t="str">
        <f t="shared" si="57"/>
        <v/>
      </c>
      <c r="Q105" s="43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</row>
    <row r="106" spans="1:30" ht="13.5" customHeight="1">
      <c r="A106" s="26"/>
      <c r="B106" s="26"/>
      <c r="C106" s="26"/>
      <c r="D106" s="48" t="str">
        <f>IF(Tracking!J70="","",IF(Person!$C$20="m",ABS((Tracking!J70/4-D$45)),ABS((Tracking!J70/4-D$48))))</f>
        <v/>
      </c>
      <c r="E106" s="48" t="str">
        <f>IF(Tracking!K70="","",IF(Person!$C$20="m",ABS((Tracking!K70/4-E$45)),ABS((Tracking!K70/4-E$48))))</f>
        <v/>
      </c>
      <c r="F106" s="48" t="str">
        <f>IF(Tracking!L70="","",IF(Person!$C$20="m",ABS((Tracking!L70/4-F$45)),ABS((Tracking!L70/4-F$48))))</f>
        <v/>
      </c>
      <c r="G106" s="48" t="str">
        <f>IF(Tracking!M70="","",IF(Person!$C$20="m",ABS((Tracking!M70/4-G$45)),ABS((Tracking!M70/4-G$48))))</f>
        <v/>
      </c>
      <c r="H106" s="48" t="str">
        <f>IF(Tracking!N70="","",IF(Person!$C$20="m",ABS((Tracking!N70/4-H$45)),ABS((Tracking!N70/4-H$48))))</f>
        <v/>
      </c>
      <c r="I106" s="48" t="str">
        <f>IF(Tracking!O70="","",IF(Person!$C$20="m",ABS((Tracking!O70/4-I$45)),ABS((Tracking!O70/4-I$48))))</f>
        <v/>
      </c>
      <c r="J106" s="48" t="str">
        <f>IF(Tracking!P70="","",IF(Person!$C$20="m",ABS((Tracking!P70/4-J$45)),ABS((Tracking!P70/4-J$48))))</f>
        <v/>
      </c>
      <c r="K106" s="48" t="str">
        <f>IF(Tracking!Q70="","",IF(Person!$C$20="m",ABS((Tracking!Q70/4-K$45)),ABS((Tracking!Q70/4-K$48))))</f>
        <v/>
      </c>
      <c r="L106" s="48" t="str">
        <f>IF(Tracking!R70="","",IF(Person!$C$20="m",ABS((Tracking!R70/4-L$45)),ABS((Tracking!R70/4-L$48))))</f>
        <v/>
      </c>
      <c r="M106" s="48" t="str">
        <f>IF(Tracking!S70="","",IF(Person!$C$20="m",ABS((Tracking!S70/4-M$45)),ABS((Tracking!S70/4-M$48))))</f>
        <v/>
      </c>
      <c r="N106" s="48" t="str">
        <f>IF(Tracking!T70="","",IF(Person!$C$20="m",ABS((Tracking!T70/4-N$45)),ABS((Tracking!T70/4-N$48))))</f>
        <v/>
      </c>
      <c r="O106" s="48" t="str">
        <f>IF(Tracking!U70="","",IF(Person!$C$20="m",ABS((Tracking!U70/4-O$45)),ABS((Tracking!U70/4-O$48))))</f>
        <v/>
      </c>
      <c r="P106" s="48" t="str">
        <f>IF(Tracking!V70="","",IF(Person!$C$20="m",ABS((Tracking!V70/4-P$45)),ABS((Tracking!V70/4-P$48))))</f>
        <v/>
      </c>
      <c r="Q106" s="43"/>
      <c r="R106" s="48" t="str">
        <f t="shared" ref="R106:AD106" si="58">IF(ISERROR(LARGE($D106:$P106,R$44)),"",LARGE($D106:$P106,R$44))</f>
        <v/>
      </c>
      <c r="S106" s="48" t="str">
        <f t="shared" si="58"/>
        <v/>
      </c>
      <c r="T106" s="48" t="str">
        <f t="shared" si="58"/>
        <v/>
      </c>
      <c r="U106" s="48" t="str">
        <f t="shared" si="58"/>
        <v/>
      </c>
      <c r="V106" s="48" t="str">
        <f t="shared" si="58"/>
        <v/>
      </c>
      <c r="W106" s="48" t="str">
        <f t="shared" si="58"/>
        <v/>
      </c>
      <c r="X106" s="48" t="str">
        <f t="shared" si="58"/>
        <v/>
      </c>
      <c r="Y106" s="48" t="str">
        <f t="shared" si="58"/>
        <v/>
      </c>
      <c r="Z106" s="48" t="str">
        <f t="shared" si="58"/>
        <v/>
      </c>
      <c r="AA106" s="48" t="str">
        <f t="shared" si="58"/>
        <v/>
      </c>
      <c r="AB106" s="48" t="str">
        <f t="shared" si="58"/>
        <v/>
      </c>
      <c r="AC106" s="48" t="str">
        <f t="shared" si="58"/>
        <v/>
      </c>
      <c r="AD106" s="48" t="str">
        <f t="shared" si="58"/>
        <v/>
      </c>
    </row>
    <row r="107" spans="1:30" ht="13.5" customHeight="1">
      <c r="A107" s="26"/>
      <c r="B107" s="26"/>
      <c r="C107" s="26"/>
      <c r="D107" s="49" t="str">
        <f t="shared" ref="D107:P107" si="59">IF(D106="","",IF(D106=$R106,1,IF(D106=$S106,2,IF(D106=$T106,3,IF(D106=$U106,4,IF(D106=$V106,5,IF(D106=$W106,6,IF(D106=$X106,7,IF(D106=$Y106,8,IF(D106=$Z106,9,IF(D106=$AA106,10,IF(D106=$AB106,11,IF(D106=$AC106,12,IF(D106=$AD106,13))))))))))))))</f>
        <v/>
      </c>
      <c r="E107" s="49" t="str">
        <f t="shared" si="59"/>
        <v/>
      </c>
      <c r="F107" s="49" t="str">
        <f t="shared" si="59"/>
        <v/>
      </c>
      <c r="G107" s="49" t="str">
        <f t="shared" si="59"/>
        <v/>
      </c>
      <c r="H107" s="49" t="str">
        <f t="shared" si="59"/>
        <v/>
      </c>
      <c r="I107" s="49" t="str">
        <f t="shared" si="59"/>
        <v/>
      </c>
      <c r="J107" s="49" t="str">
        <f t="shared" si="59"/>
        <v/>
      </c>
      <c r="K107" s="49" t="str">
        <f t="shared" si="59"/>
        <v/>
      </c>
      <c r="L107" s="49" t="str">
        <f t="shared" si="59"/>
        <v/>
      </c>
      <c r="M107" s="49" t="str">
        <f t="shared" si="59"/>
        <v/>
      </c>
      <c r="N107" s="49" t="str">
        <f t="shared" si="59"/>
        <v/>
      </c>
      <c r="O107" s="49" t="str">
        <f t="shared" si="59"/>
        <v/>
      </c>
      <c r="P107" s="49" t="str">
        <f t="shared" si="59"/>
        <v/>
      </c>
      <c r="Q107" s="43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</row>
    <row r="108" spans="1:30" ht="13.5" customHeight="1">
      <c r="A108" s="26"/>
      <c r="B108" s="26"/>
      <c r="C108" s="26"/>
      <c r="D108" s="48" t="str">
        <f>IF(Tracking!J72="","",IF(Person!$C$20="m",ABS((Tracking!J72/4-D$45)),ABS((Tracking!J72/4-D$48))))</f>
        <v/>
      </c>
      <c r="E108" s="48" t="str">
        <f>IF(Tracking!K72="","",IF(Person!$C$20="m",ABS((Tracking!K72/4-E$45)),ABS((Tracking!K72/4-E$48))))</f>
        <v/>
      </c>
      <c r="F108" s="48" t="str">
        <f>IF(Tracking!L72="","",IF(Person!$C$20="m",ABS((Tracking!L72/4-F$45)),ABS((Tracking!L72/4-F$48))))</f>
        <v/>
      </c>
      <c r="G108" s="48" t="str">
        <f>IF(Tracking!M72="","",IF(Person!$C$20="m",ABS((Tracking!M72/4-G$45)),ABS((Tracking!M72/4-G$48))))</f>
        <v/>
      </c>
      <c r="H108" s="48" t="str">
        <f>IF(Tracking!N72="","",IF(Person!$C$20="m",ABS((Tracking!N72/4-H$45)),ABS((Tracking!N72/4-H$48))))</f>
        <v/>
      </c>
      <c r="I108" s="48" t="str">
        <f>IF(Tracking!O72="","",IF(Person!$C$20="m",ABS((Tracking!O72/4-I$45)),ABS((Tracking!O72/4-I$48))))</f>
        <v/>
      </c>
      <c r="J108" s="48" t="str">
        <f>IF(Tracking!P72="","",IF(Person!$C$20="m",ABS((Tracking!P72/4-J$45)),ABS((Tracking!P72/4-J$48))))</f>
        <v/>
      </c>
      <c r="K108" s="48" t="str">
        <f>IF(Tracking!Q72="","",IF(Person!$C$20="m",ABS((Tracking!Q72/4-K$45)),ABS((Tracking!Q72/4-K$48))))</f>
        <v/>
      </c>
      <c r="L108" s="48" t="str">
        <f>IF(Tracking!R72="","",IF(Person!$C$20="m",ABS((Tracking!R72/4-L$45)),ABS((Tracking!R72/4-L$48))))</f>
        <v/>
      </c>
      <c r="M108" s="48" t="str">
        <f>IF(Tracking!S72="","",IF(Person!$C$20="m",ABS((Tracking!S72/4-M$45)),ABS((Tracking!S72/4-M$48))))</f>
        <v/>
      </c>
      <c r="N108" s="48" t="str">
        <f>IF(Tracking!T72="","",IF(Person!$C$20="m",ABS((Tracking!T72/4-N$45)),ABS((Tracking!T72/4-N$48))))</f>
        <v/>
      </c>
      <c r="O108" s="48" t="str">
        <f>IF(Tracking!U72="","",IF(Person!$C$20="m",ABS((Tracking!U72/4-O$45)),ABS((Tracking!U72/4-O$48))))</f>
        <v/>
      </c>
      <c r="P108" s="48" t="str">
        <f>IF(Tracking!V72="","",IF(Person!$C$20="m",ABS((Tracking!V72/4-P$45)),ABS((Tracking!V72/4-P$48))))</f>
        <v/>
      </c>
      <c r="Q108" s="43"/>
      <c r="R108" s="48" t="str">
        <f t="shared" ref="R108:AD108" si="60">IF(ISERROR(LARGE($D108:$P108,R$44)),"",LARGE($D108:$P108,R$44))</f>
        <v/>
      </c>
      <c r="S108" s="48" t="str">
        <f t="shared" si="60"/>
        <v/>
      </c>
      <c r="T108" s="48" t="str">
        <f t="shared" si="60"/>
        <v/>
      </c>
      <c r="U108" s="48" t="str">
        <f t="shared" si="60"/>
        <v/>
      </c>
      <c r="V108" s="48" t="str">
        <f t="shared" si="60"/>
        <v/>
      </c>
      <c r="W108" s="48" t="str">
        <f t="shared" si="60"/>
        <v/>
      </c>
      <c r="X108" s="48" t="str">
        <f t="shared" si="60"/>
        <v/>
      </c>
      <c r="Y108" s="48" t="str">
        <f t="shared" si="60"/>
        <v/>
      </c>
      <c r="Z108" s="48" t="str">
        <f t="shared" si="60"/>
        <v/>
      </c>
      <c r="AA108" s="48" t="str">
        <f t="shared" si="60"/>
        <v/>
      </c>
      <c r="AB108" s="48" t="str">
        <f t="shared" si="60"/>
        <v/>
      </c>
      <c r="AC108" s="48" t="str">
        <f t="shared" si="60"/>
        <v/>
      </c>
      <c r="AD108" s="48" t="str">
        <f t="shared" si="60"/>
        <v/>
      </c>
    </row>
    <row r="109" spans="1:30" ht="13.5" customHeight="1">
      <c r="A109" s="26"/>
      <c r="B109" s="26"/>
      <c r="C109" s="26"/>
      <c r="D109" s="49" t="str">
        <f t="shared" ref="D109:P109" si="61">IF(D108="","",IF(D108=$R108,1,IF(D108=$S108,2,IF(D108=$T108,3,IF(D108=$U108,4,IF(D108=$V108,5,IF(D108=$W108,6,IF(D108=$X108,7,IF(D108=$Y108,8,IF(D108=$Z108,9,IF(D108=$AA108,10,IF(D108=$AB108,11,IF(D108=$AC108,12,IF(D108=$AD108,13))))))))))))))</f>
        <v/>
      </c>
      <c r="E109" s="49" t="str">
        <f t="shared" si="61"/>
        <v/>
      </c>
      <c r="F109" s="49" t="str">
        <f t="shared" si="61"/>
        <v/>
      </c>
      <c r="G109" s="49" t="str">
        <f t="shared" si="61"/>
        <v/>
      </c>
      <c r="H109" s="49" t="str">
        <f t="shared" si="61"/>
        <v/>
      </c>
      <c r="I109" s="49" t="str">
        <f t="shared" si="61"/>
        <v/>
      </c>
      <c r="J109" s="49" t="str">
        <f t="shared" si="61"/>
        <v/>
      </c>
      <c r="K109" s="49" t="str">
        <f t="shared" si="61"/>
        <v/>
      </c>
      <c r="L109" s="49" t="str">
        <f t="shared" si="61"/>
        <v/>
      </c>
      <c r="M109" s="49" t="str">
        <f t="shared" si="61"/>
        <v/>
      </c>
      <c r="N109" s="49" t="str">
        <f t="shared" si="61"/>
        <v/>
      </c>
      <c r="O109" s="49" t="str">
        <f t="shared" si="61"/>
        <v/>
      </c>
      <c r="P109" s="49" t="str">
        <f t="shared" si="61"/>
        <v/>
      </c>
      <c r="Q109" s="43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</row>
    <row r="110" spans="1:30" ht="13.5" customHeight="1">
      <c r="A110" s="26"/>
      <c r="B110" s="26"/>
      <c r="C110" s="26"/>
      <c r="D110" s="48" t="str">
        <f>IF(Tracking!J74="","",IF(Person!$C$20="m",ABS((Tracking!J74/4-D$45)),ABS((Tracking!J74/4-D$48))))</f>
        <v/>
      </c>
      <c r="E110" s="48" t="str">
        <f>IF(Tracking!K74="","",IF(Person!$C$20="m",ABS((Tracking!K74/4-E$45)),ABS((Tracking!K74/4-E$48))))</f>
        <v/>
      </c>
      <c r="F110" s="48" t="str">
        <f>IF(Tracking!L74="","",IF(Person!$C$20="m",ABS((Tracking!L74/4-F$45)),ABS((Tracking!L74/4-F$48))))</f>
        <v/>
      </c>
      <c r="G110" s="48" t="str">
        <f>IF(Tracking!M74="","",IF(Person!$C$20="m",ABS((Tracking!M74/4-G$45)),ABS((Tracking!M74/4-G$48))))</f>
        <v/>
      </c>
      <c r="H110" s="48" t="str">
        <f>IF(Tracking!N74="","",IF(Person!$C$20="m",ABS((Tracking!N74/4-H$45)),ABS((Tracking!N74/4-H$48))))</f>
        <v/>
      </c>
      <c r="I110" s="48" t="str">
        <f>IF(Tracking!O74="","",IF(Person!$C$20="m",ABS((Tracking!O74/4-I$45)),ABS((Tracking!O74/4-I$48))))</f>
        <v/>
      </c>
      <c r="J110" s="48" t="str">
        <f>IF(Tracking!P74="","",IF(Person!$C$20="m",ABS((Tracking!P74/4-J$45)),ABS((Tracking!P74/4-J$48))))</f>
        <v/>
      </c>
      <c r="K110" s="48" t="str">
        <f>IF(Tracking!Q74="","",IF(Person!$C$20="m",ABS((Tracking!Q74/4-K$45)),ABS((Tracking!Q74/4-K$48))))</f>
        <v/>
      </c>
      <c r="L110" s="48" t="str">
        <f>IF(Tracking!R74="","",IF(Person!$C$20="m",ABS((Tracking!R74/4-L$45)),ABS((Tracking!R74/4-L$48))))</f>
        <v/>
      </c>
      <c r="M110" s="48" t="str">
        <f>IF(Tracking!S74="","",IF(Person!$C$20="m",ABS((Tracking!S74/4-M$45)),ABS((Tracking!S74/4-M$48))))</f>
        <v/>
      </c>
      <c r="N110" s="48" t="str">
        <f>IF(Tracking!T74="","",IF(Person!$C$20="m",ABS((Tracking!T74/4-N$45)),ABS((Tracking!T74/4-N$48))))</f>
        <v/>
      </c>
      <c r="O110" s="48" t="str">
        <f>IF(Tracking!U74="","",IF(Person!$C$20="m",ABS((Tracking!U74/4-O$45)),ABS((Tracking!U74/4-O$48))))</f>
        <v/>
      </c>
      <c r="P110" s="48" t="str">
        <f>IF(Tracking!V74="","",IF(Person!$C$20="m",ABS((Tracking!V74/4-P$45)),ABS((Tracking!V74/4-P$48))))</f>
        <v/>
      </c>
      <c r="Q110" s="43"/>
      <c r="R110" s="48" t="str">
        <f t="shared" ref="R110:AD110" si="62">IF(ISERROR(LARGE($D110:$P110,R$44)),"",LARGE($D110:$P110,R$44))</f>
        <v/>
      </c>
      <c r="S110" s="48" t="str">
        <f t="shared" si="62"/>
        <v/>
      </c>
      <c r="T110" s="48" t="str">
        <f t="shared" si="62"/>
        <v/>
      </c>
      <c r="U110" s="48" t="str">
        <f t="shared" si="62"/>
        <v/>
      </c>
      <c r="V110" s="48" t="str">
        <f t="shared" si="62"/>
        <v/>
      </c>
      <c r="W110" s="48" t="str">
        <f t="shared" si="62"/>
        <v/>
      </c>
      <c r="X110" s="48" t="str">
        <f t="shared" si="62"/>
        <v/>
      </c>
      <c r="Y110" s="48" t="str">
        <f t="shared" si="62"/>
        <v/>
      </c>
      <c r="Z110" s="48" t="str">
        <f t="shared" si="62"/>
        <v/>
      </c>
      <c r="AA110" s="48" t="str">
        <f t="shared" si="62"/>
        <v/>
      </c>
      <c r="AB110" s="48" t="str">
        <f t="shared" si="62"/>
        <v/>
      </c>
      <c r="AC110" s="48" t="str">
        <f t="shared" si="62"/>
        <v/>
      </c>
      <c r="AD110" s="48" t="str">
        <f t="shared" si="62"/>
        <v/>
      </c>
    </row>
    <row r="111" spans="1:30" ht="13.5" customHeight="1">
      <c r="A111" s="26"/>
      <c r="B111" s="26"/>
      <c r="C111" s="26"/>
      <c r="D111" s="49" t="str">
        <f t="shared" ref="D111:P111" si="63">IF(D110="","",IF(D110=$R110,1,IF(D110=$S110,2,IF(D110=$T110,3,IF(D110=$U110,4,IF(D110=$V110,5,IF(D110=$W110,6,IF(D110=$X110,7,IF(D110=$Y110,8,IF(D110=$Z110,9,IF(D110=$AA110,10,IF(D110=$AB110,11,IF(D110=$AC110,12,IF(D110=$AD110,13))))))))))))))</f>
        <v/>
      </c>
      <c r="E111" s="49" t="str">
        <f t="shared" si="63"/>
        <v/>
      </c>
      <c r="F111" s="49" t="str">
        <f t="shared" si="63"/>
        <v/>
      </c>
      <c r="G111" s="49" t="str">
        <f t="shared" si="63"/>
        <v/>
      </c>
      <c r="H111" s="49" t="str">
        <f t="shared" si="63"/>
        <v/>
      </c>
      <c r="I111" s="49" t="str">
        <f t="shared" si="63"/>
        <v/>
      </c>
      <c r="J111" s="49" t="str">
        <f t="shared" si="63"/>
        <v/>
      </c>
      <c r="K111" s="49" t="str">
        <f t="shared" si="63"/>
        <v/>
      </c>
      <c r="L111" s="49" t="str">
        <f t="shared" si="63"/>
        <v/>
      </c>
      <c r="M111" s="49" t="str">
        <f t="shared" si="63"/>
        <v/>
      </c>
      <c r="N111" s="49" t="str">
        <f t="shared" si="63"/>
        <v/>
      </c>
      <c r="O111" s="49" t="str">
        <f t="shared" si="63"/>
        <v/>
      </c>
      <c r="P111" s="49" t="str">
        <f t="shared" si="63"/>
        <v/>
      </c>
      <c r="Q111" s="43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</row>
    <row r="112" spans="1:30" ht="13.5" customHeight="1">
      <c r="A112" s="26"/>
      <c r="B112" s="26"/>
      <c r="C112" s="26"/>
      <c r="D112" s="48" t="str">
        <f>IF(Tracking!J76="","",IF(Person!$C$20="m",ABS((Tracking!J76/4-D$45)),ABS((Tracking!J76/4-D$48))))</f>
        <v/>
      </c>
      <c r="E112" s="48" t="str">
        <f>IF(Tracking!K76="","",IF(Person!$C$20="m",ABS((Tracking!K76/4-E$45)),ABS((Tracking!K76/4-E$48))))</f>
        <v/>
      </c>
      <c r="F112" s="48" t="str">
        <f>IF(Tracking!L76="","",IF(Person!$C$20="m",ABS((Tracking!L76/4-F$45)),ABS((Tracking!L76/4-F$48))))</f>
        <v/>
      </c>
      <c r="G112" s="48" t="str">
        <f>IF(Tracking!M76="","",IF(Person!$C$20="m",ABS((Tracking!M76/4-G$45)),ABS((Tracking!M76/4-G$48))))</f>
        <v/>
      </c>
      <c r="H112" s="48" t="str">
        <f>IF(Tracking!N76="","",IF(Person!$C$20="m",ABS((Tracking!N76/4-H$45)),ABS((Tracking!N76/4-H$48))))</f>
        <v/>
      </c>
      <c r="I112" s="48" t="str">
        <f>IF(Tracking!O76="","",IF(Person!$C$20="m",ABS((Tracking!O76/4-I$45)),ABS((Tracking!O76/4-I$48))))</f>
        <v/>
      </c>
      <c r="J112" s="48" t="str">
        <f>IF(Tracking!P76="","",IF(Person!$C$20="m",ABS((Tracking!P76/4-J$45)),ABS((Tracking!P76/4-J$48))))</f>
        <v/>
      </c>
      <c r="K112" s="48" t="str">
        <f>IF(Tracking!Q76="","",IF(Person!$C$20="m",ABS((Tracking!Q76/4-K$45)),ABS((Tracking!Q76/4-K$48))))</f>
        <v/>
      </c>
      <c r="L112" s="48" t="str">
        <f>IF(Tracking!R76="","",IF(Person!$C$20="m",ABS((Tracking!R76/4-L$45)),ABS((Tracking!R76/4-L$48))))</f>
        <v/>
      </c>
      <c r="M112" s="48" t="str">
        <f>IF(Tracking!S76="","",IF(Person!$C$20="m",ABS((Tracking!S76/4-M$45)),ABS((Tracking!S76/4-M$48))))</f>
        <v/>
      </c>
      <c r="N112" s="48" t="str">
        <f>IF(Tracking!T76="","",IF(Person!$C$20="m",ABS((Tracking!T76/4-N$45)),ABS((Tracking!T76/4-N$48))))</f>
        <v/>
      </c>
      <c r="O112" s="48" t="str">
        <f>IF(Tracking!U76="","",IF(Person!$C$20="m",ABS((Tracking!U76/4-O$45)),ABS((Tracking!U76/4-O$48))))</f>
        <v/>
      </c>
      <c r="P112" s="48" t="str">
        <f>IF(Tracking!V76="","",IF(Person!$C$20="m",ABS((Tracking!V76/4-P$45)),ABS((Tracking!V76/4-P$48))))</f>
        <v/>
      </c>
      <c r="Q112" s="43"/>
      <c r="R112" s="48" t="str">
        <f t="shared" ref="R112:AD112" si="64">IF(ISERROR(LARGE($D112:$P112,R$44)),"",LARGE($D112:$P112,R$44))</f>
        <v/>
      </c>
      <c r="S112" s="48" t="str">
        <f t="shared" si="64"/>
        <v/>
      </c>
      <c r="T112" s="48" t="str">
        <f t="shared" si="64"/>
        <v/>
      </c>
      <c r="U112" s="48" t="str">
        <f t="shared" si="64"/>
        <v/>
      </c>
      <c r="V112" s="48" t="str">
        <f t="shared" si="64"/>
        <v/>
      </c>
      <c r="W112" s="48" t="str">
        <f t="shared" si="64"/>
        <v/>
      </c>
      <c r="X112" s="48" t="str">
        <f t="shared" si="64"/>
        <v/>
      </c>
      <c r="Y112" s="48" t="str">
        <f t="shared" si="64"/>
        <v/>
      </c>
      <c r="Z112" s="48" t="str">
        <f t="shared" si="64"/>
        <v/>
      </c>
      <c r="AA112" s="48" t="str">
        <f t="shared" si="64"/>
        <v/>
      </c>
      <c r="AB112" s="48" t="str">
        <f t="shared" si="64"/>
        <v/>
      </c>
      <c r="AC112" s="48" t="str">
        <f t="shared" si="64"/>
        <v/>
      </c>
      <c r="AD112" s="48" t="str">
        <f t="shared" si="64"/>
        <v/>
      </c>
    </row>
    <row r="113" spans="1:30" ht="13.5" customHeight="1">
      <c r="A113" s="26"/>
      <c r="B113" s="26"/>
      <c r="C113" s="26"/>
      <c r="D113" s="49" t="str">
        <f t="shared" ref="D113:P113" si="65">IF(D112="","",IF(D112=$R112,1,IF(D112=$S112,2,IF(D112=$T112,3,IF(D112=$U112,4,IF(D112=$V112,5,IF(D112=$W112,6,IF(D112=$X112,7,IF(D112=$Y112,8,IF(D112=$Z112,9,IF(D112=$AA112,10,IF(D112=$AB112,11,IF(D112=$AC112,12,IF(D112=$AD112,13))))))))))))))</f>
        <v/>
      </c>
      <c r="E113" s="49" t="str">
        <f t="shared" si="65"/>
        <v/>
      </c>
      <c r="F113" s="49" t="str">
        <f t="shared" si="65"/>
        <v/>
      </c>
      <c r="G113" s="49" t="str">
        <f t="shared" si="65"/>
        <v/>
      </c>
      <c r="H113" s="49" t="str">
        <f t="shared" si="65"/>
        <v/>
      </c>
      <c r="I113" s="49" t="str">
        <f t="shared" si="65"/>
        <v/>
      </c>
      <c r="J113" s="49" t="str">
        <f t="shared" si="65"/>
        <v/>
      </c>
      <c r="K113" s="49" t="str">
        <f t="shared" si="65"/>
        <v/>
      </c>
      <c r="L113" s="49" t="str">
        <f t="shared" si="65"/>
        <v/>
      </c>
      <c r="M113" s="49" t="str">
        <f t="shared" si="65"/>
        <v/>
      </c>
      <c r="N113" s="49" t="str">
        <f t="shared" si="65"/>
        <v/>
      </c>
      <c r="O113" s="49" t="str">
        <f t="shared" si="65"/>
        <v/>
      </c>
      <c r="P113" s="49" t="str">
        <f t="shared" si="65"/>
        <v/>
      </c>
      <c r="Q113" s="43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</row>
    <row r="114" spans="1:30" ht="13.5" customHeight="1">
      <c r="A114" s="26"/>
      <c r="B114" s="26"/>
      <c r="C114" s="26"/>
      <c r="D114" s="48" t="str">
        <f>IF(Tracking!J78="","",IF(Person!$C$20="m",ABS((Tracking!J78/4-D$45)),ABS((Tracking!J78/4-D$48))))</f>
        <v/>
      </c>
      <c r="E114" s="48" t="str">
        <f>IF(Tracking!K78="","",IF(Person!$C$20="m",ABS((Tracking!K78/4-E$45)),ABS((Tracking!K78/4-E$48))))</f>
        <v/>
      </c>
      <c r="F114" s="48" t="str">
        <f>IF(Tracking!L78="","",IF(Person!$C$20="m",ABS((Tracking!L78/4-F$45)),ABS((Tracking!L78/4-F$48))))</f>
        <v/>
      </c>
      <c r="G114" s="48" t="str">
        <f>IF(Tracking!M78="","",IF(Person!$C$20="m",ABS((Tracking!M78/4-G$45)),ABS((Tracking!M78/4-G$48))))</f>
        <v/>
      </c>
      <c r="H114" s="48" t="str">
        <f>IF(Tracking!N78="","",IF(Person!$C$20="m",ABS((Tracking!N78/4-H$45)),ABS((Tracking!N78/4-H$48))))</f>
        <v/>
      </c>
      <c r="I114" s="48" t="str">
        <f>IF(Tracking!O78="","",IF(Person!$C$20="m",ABS((Tracking!O78/4-I$45)),ABS((Tracking!O78/4-I$48))))</f>
        <v/>
      </c>
      <c r="J114" s="48" t="str">
        <f>IF(Tracking!P78="","",IF(Person!$C$20="m",ABS((Tracking!P78/4-J$45)),ABS((Tracking!P78/4-J$48))))</f>
        <v/>
      </c>
      <c r="K114" s="48" t="str">
        <f>IF(Tracking!Q78="","",IF(Person!$C$20="m",ABS((Tracking!Q78/4-K$45)),ABS((Tracking!Q78/4-K$48))))</f>
        <v/>
      </c>
      <c r="L114" s="48" t="str">
        <f>IF(Tracking!R78="","",IF(Person!$C$20="m",ABS((Tracking!R78/4-L$45)),ABS((Tracking!R78/4-L$48))))</f>
        <v/>
      </c>
      <c r="M114" s="48" t="str">
        <f>IF(Tracking!S78="","",IF(Person!$C$20="m",ABS((Tracking!S78/4-M$45)),ABS((Tracking!S78/4-M$48))))</f>
        <v/>
      </c>
      <c r="N114" s="48" t="str">
        <f>IF(Tracking!T78="","",IF(Person!$C$20="m",ABS((Tracking!T78/4-N$45)),ABS((Tracking!T78/4-N$48))))</f>
        <v/>
      </c>
      <c r="O114" s="48" t="str">
        <f>IF(Tracking!U78="","",IF(Person!$C$20="m",ABS((Tracking!U78/4-O$45)),ABS((Tracking!U78/4-O$48))))</f>
        <v/>
      </c>
      <c r="P114" s="48" t="str">
        <f>IF(Tracking!V78="","",IF(Person!$C$20="m",ABS((Tracking!V78/4-P$45)),ABS((Tracking!V78/4-P$48))))</f>
        <v/>
      </c>
      <c r="Q114" s="43"/>
      <c r="R114" s="48" t="str">
        <f t="shared" ref="R114:AD114" si="66">IF(ISERROR(LARGE($D114:$P114,R$44)),"",LARGE($D114:$P114,R$44))</f>
        <v/>
      </c>
      <c r="S114" s="48" t="str">
        <f t="shared" si="66"/>
        <v/>
      </c>
      <c r="T114" s="48" t="str">
        <f t="shared" si="66"/>
        <v/>
      </c>
      <c r="U114" s="48" t="str">
        <f t="shared" si="66"/>
        <v/>
      </c>
      <c r="V114" s="48" t="str">
        <f t="shared" si="66"/>
        <v/>
      </c>
      <c r="W114" s="48" t="str">
        <f t="shared" si="66"/>
        <v/>
      </c>
      <c r="X114" s="48" t="str">
        <f t="shared" si="66"/>
        <v/>
      </c>
      <c r="Y114" s="48" t="str">
        <f t="shared" si="66"/>
        <v/>
      </c>
      <c r="Z114" s="48" t="str">
        <f t="shared" si="66"/>
        <v/>
      </c>
      <c r="AA114" s="48" t="str">
        <f t="shared" si="66"/>
        <v/>
      </c>
      <c r="AB114" s="48" t="str">
        <f t="shared" si="66"/>
        <v/>
      </c>
      <c r="AC114" s="48" t="str">
        <f t="shared" si="66"/>
        <v/>
      </c>
      <c r="AD114" s="48" t="str">
        <f t="shared" si="66"/>
        <v/>
      </c>
    </row>
    <row r="115" spans="1:30" ht="13.5" customHeight="1">
      <c r="A115" s="26"/>
      <c r="B115" s="26"/>
      <c r="C115" s="26"/>
      <c r="D115" s="49" t="str">
        <f t="shared" ref="D115:P115" si="67">IF(D114="","",IF(D114=$R114,1,IF(D114=$S114,2,IF(D114=$T114,3,IF(D114=$U114,4,IF(D114=$V114,5,IF(D114=$W114,6,IF(D114=$X114,7,IF(D114=$Y114,8,IF(D114=$Z114,9,IF(D114=$AA114,10,IF(D114=$AB114,11,IF(D114=$AC114,12,IF(D114=$AD114,13))))))))))))))</f>
        <v/>
      </c>
      <c r="E115" s="49" t="str">
        <f t="shared" si="67"/>
        <v/>
      </c>
      <c r="F115" s="49" t="str">
        <f t="shared" si="67"/>
        <v/>
      </c>
      <c r="G115" s="49" t="str">
        <f t="shared" si="67"/>
        <v/>
      </c>
      <c r="H115" s="49" t="str">
        <f t="shared" si="67"/>
        <v/>
      </c>
      <c r="I115" s="49" t="str">
        <f t="shared" si="67"/>
        <v/>
      </c>
      <c r="J115" s="49" t="str">
        <f t="shared" si="67"/>
        <v/>
      </c>
      <c r="K115" s="49" t="str">
        <f t="shared" si="67"/>
        <v/>
      </c>
      <c r="L115" s="49" t="str">
        <f t="shared" si="67"/>
        <v/>
      </c>
      <c r="M115" s="49" t="str">
        <f t="shared" si="67"/>
        <v/>
      </c>
      <c r="N115" s="49" t="str">
        <f t="shared" si="67"/>
        <v/>
      </c>
      <c r="O115" s="49" t="str">
        <f t="shared" si="67"/>
        <v/>
      </c>
      <c r="P115" s="49" t="str">
        <f t="shared" si="67"/>
        <v/>
      </c>
      <c r="Q115" s="43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</row>
    <row r="116" spans="1:30" ht="13.5" customHeight="1">
      <c r="A116" s="26"/>
      <c r="B116" s="26"/>
      <c r="C116" s="26"/>
      <c r="D116" s="48" t="str">
        <f>IF(Tracking!J80="","",IF(Person!$C$20="m",ABS((Tracking!J80/4-D$45)),ABS((Tracking!J80/4-D$48))))</f>
        <v/>
      </c>
      <c r="E116" s="48" t="str">
        <f>IF(Tracking!K80="","",IF(Person!$C$20="m",ABS((Tracking!K80/4-E$45)),ABS((Tracking!K80/4-E$48))))</f>
        <v/>
      </c>
      <c r="F116" s="48" t="str">
        <f>IF(Tracking!L80="","",IF(Person!$C$20="m",ABS((Tracking!L80/4-F$45)),ABS((Tracking!L80/4-F$48))))</f>
        <v/>
      </c>
      <c r="G116" s="48" t="str">
        <f>IF(Tracking!M80="","",IF(Person!$C$20="m",ABS((Tracking!M80/4-G$45)),ABS((Tracking!M80/4-G$48))))</f>
        <v/>
      </c>
      <c r="H116" s="48" t="str">
        <f>IF(Tracking!N80="","",IF(Person!$C$20="m",ABS((Tracking!N80/4-H$45)),ABS((Tracking!N80/4-H$48))))</f>
        <v/>
      </c>
      <c r="I116" s="48" t="str">
        <f>IF(Tracking!O80="","",IF(Person!$C$20="m",ABS((Tracking!O80/4-I$45)),ABS((Tracking!O80/4-I$48))))</f>
        <v/>
      </c>
      <c r="J116" s="48" t="str">
        <f>IF(Tracking!P80="","",IF(Person!$C$20="m",ABS((Tracking!P80/4-J$45)),ABS((Tracking!P80/4-J$48))))</f>
        <v/>
      </c>
      <c r="K116" s="48" t="str">
        <f>IF(Tracking!Q80="","",IF(Person!$C$20="m",ABS((Tracking!Q80/4-K$45)),ABS((Tracking!Q80/4-K$48))))</f>
        <v/>
      </c>
      <c r="L116" s="48" t="str">
        <f>IF(Tracking!R80="","",IF(Person!$C$20="m",ABS((Tracking!R80/4-L$45)),ABS((Tracking!R80/4-L$48))))</f>
        <v/>
      </c>
      <c r="M116" s="48" t="str">
        <f>IF(Tracking!S80="","",IF(Person!$C$20="m",ABS((Tracking!S80/4-M$45)),ABS((Tracking!S80/4-M$48))))</f>
        <v/>
      </c>
      <c r="N116" s="48" t="str">
        <f>IF(Tracking!T80="","",IF(Person!$C$20="m",ABS((Tracking!T80/4-N$45)),ABS((Tracking!T80/4-N$48))))</f>
        <v/>
      </c>
      <c r="O116" s="48" t="str">
        <f>IF(Tracking!U80="","",IF(Person!$C$20="m",ABS((Tracking!U80/4-O$45)),ABS((Tracking!U80/4-O$48))))</f>
        <v/>
      </c>
      <c r="P116" s="48" t="str">
        <f>IF(Tracking!V80="","",IF(Person!$C$20="m",ABS((Tracking!V80/4-P$45)),ABS((Tracking!V80/4-P$48))))</f>
        <v/>
      </c>
      <c r="Q116" s="43"/>
      <c r="R116" s="48" t="str">
        <f t="shared" ref="R116:AD116" si="68">IF(ISERROR(LARGE($D116:$P116,R$44)),"",LARGE($D116:$P116,R$44))</f>
        <v/>
      </c>
      <c r="S116" s="48" t="str">
        <f t="shared" si="68"/>
        <v/>
      </c>
      <c r="T116" s="48" t="str">
        <f t="shared" si="68"/>
        <v/>
      </c>
      <c r="U116" s="48" t="str">
        <f t="shared" si="68"/>
        <v/>
      </c>
      <c r="V116" s="48" t="str">
        <f t="shared" si="68"/>
        <v/>
      </c>
      <c r="W116" s="48" t="str">
        <f t="shared" si="68"/>
        <v/>
      </c>
      <c r="X116" s="48" t="str">
        <f t="shared" si="68"/>
        <v/>
      </c>
      <c r="Y116" s="48" t="str">
        <f t="shared" si="68"/>
        <v/>
      </c>
      <c r="Z116" s="48" t="str">
        <f t="shared" si="68"/>
        <v/>
      </c>
      <c r="AA116" s="48" t="str">
        <f t="shared" si="68"/>
        <v/>
      </c>
      <c r="AB116" s="48" t="str">
        <f t="shared" si="68"/>
        <v/>
      </c>
      <c r="AC116" s="48" t="str">
        <f t="shared" si="68"/>
        <v/>
      </c>
      <c r="AD116" s="48" t="str">
        <f t="shared" si="68"/>
        <v/>
      </c>
    </row>
    <row r="117" spans="1:30" ht="13.5" customHeight="1">
      <c r="A117" s="26"/>
      <c r="B117" s="26"/>
      <c r="C117" s="26"/>
      <c r="D117" s="49" t="str">
        <f t="shared" ref="D117:P117" si="69">IF(D116="","",IF(D116=$R116,1,IF(D116=$S116,2,IF(D116=$T116,3,IF(D116=$U116,4,IF(D116=$V116,5,IF(D116=$W116,6,IF(D116=$X116,7,IF(D116=$Y116,8,IF(D116=$Z116,9,IF(D116=$AA116,10,IF(D116=$AB116,11,IF(D116=$AC116,12,IF(D116=$AD116,13))))))))))))))</f>
        <v/>
      </c>
      <c r="E117" s="49" t="str">
        <f t="shared" si="69"/>
        <v/>
      </c>
      <c r="F117" s="49" t="str">
        <f t="shared" si="69"/>
        <v/>
      </c>
      <c r="G117" s="49" t="str">
        <f t="shared" si="69"/>
        <v/>
      </c>
      <c r="H117" s="49" t="str">
        <f t="shared" si="69"/>
        <v/>
      </c>
      <c r="I117" s="49" t="str">
        <f t="shared" si="69"/>
        <v/>
      </c>
      <c r="J117" s="49" t="str">
        <f t="shared" si="69"/>
        <v/>
      </c>
      <c r="K117" s="49" t="str">
        <f t="shared" si="69"/>
        <v/>
      </c>
      <c r="L117" s="49" t="str">
        <f t="shared" si="69"/>
        <v/>
      </c>
      <c r="M117" s="49" t="str">
        <f t="shared" si="69"/>
        <v/>
      </c>
      <c r="N117" s="49" t="str">
        <f t="shared" si="69"/>
        <v/>
      </c>
      <c r="O117" s="49" t="str">
        <f t="shared" si="69"/>
        <v/>
      </c>
      <c r="P117" s="49" t="str">
        <f t="shared" si="69"/>
        <v/>
      </c>
      <c r="Q117" s="43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</row>
    <row r="118" spans="1:30" ht="13.5" customHeight="1">
      <c r="A118" s="26"/>
      <c r="B118" s="26"/>
      <c r="C118" s="26"/>
      <c r="D118" s="48" t="str">
        <f>IF(Tracking!J82="","",IF(Person!$C$20="m",ABS((Tracking!J82/4-D$45)),ABS((Tracking!J82/4-D$48))))</f>
        <v/>
      </c>
      <c r="E118" s="48" t="str">
        <f>IF(Tracking!K82="","",IF(Person!$C$20="m",ABS((Tracking!K82/4-E$45)),ABS((Tracking!K82/4-E$48))))</f>
        <v/>
      </c>
      <c r="F118" s="48" t="str">
        <f>IF(Tracking!L82="","",IF(Person!$C$20="m",ABS((Tracking!L82/4-F$45)),ABS((Tracking!L82/4-F$48))))</f>
        <v/>
      </c>
      <c r="G118" s="48" t="str">
        <f>IF(Tracking!M82="","",IF(Person!$C$20="m",ABS((Tracking!M82/4-G$45)),ABS((Tracking!M82/4-G$48))))</f>
        <v/>
      </c>
      <c r="H118" s="48" t="str">
        <f>IF(Tracking!N82="","",IF(Person!$C$20="m",ABS((Tracking!N82/4-H$45)),ABS((Tracking!N82/4-H$48))))</f>
        <v/>
      </c>
      <c r="I118" s="48" t="str">
        <f>IF(Tracking!O82="","",IF(Person!$C$20="m",ABS((Tracking!O82/4-I$45)),ABS((Tracking!O82/4-I$48))))</f>
        <v/>
      </c>
      <c r="J118" s="48" t="str">
        <f>IF(Tracking!P82="","",IF(Person!$C$20="m",ABS((Tracking!P82/4-J$45)),ABS((Tracking!P82/4-J$48))))</f>
        <v/>
      </c>
      <c r="K118" s="48" t="str">
        <f>IF(Tracking!Q82="","",IF(Person!$C$20="m",ABS((Tracking!Q82/4-K$45)),ABS((Tracking!Q82/4-K$48))))</f>
        <v/>
      </c>
      <c r="L118" s="48" t="str">
        <f>IF(Tracking!R82="","",IF(Person!$C$20="m",ABS((Tracking!R82/4-L$45)),ABS((Tracking!R82/4-L$48))))</f>
        <v/>
      </c>
      <c r="M118" s="48" t="str">
        <f>IF(Tracking!S82="","",IF(Person!$C$20="m",ABS((Tracking!S82/4-M$45)),ABS((Tracking!S82/4-M$48))))</f>
        <v/>
      </c>
      <c r="N118" s="48" t="str">
        <f>IF(Tracking!T82="","",IF(Person!$C$20="m",ABS((Tracking!T82/4-N$45)),ABS((Tracking!T82/4-N$48))))</f>
        <v/>
      </c>
      <c r="O118" s="48" t="str">
        <f>IF(Tracking!U82="","",IF(Person!$C$20="m",ABS((Tracking!U82/4-O$45)),ABS((Tracking!U82/4-O$48))))</f>
        <v/>
      </c>
      <c r="P118" s="48" t="str">
        <f>IF(Tracking!V82="","",IF(Person!$C$20="m",ABS((Tracking!V82/4-P$45)),ABS((Tracking!V82/4-P$48))))</f>
        <v/>
      </c>
      <c r="Q118" s="43"/>
      <c r="R118" s="48" t="str">
        <f t="shared" ref="R118:AD118" si="70">IF(ISERROR(LARGE($D118:$P118,R$44)),"",LARGE($D118:$P118,R$44))</f>
        <v/>
      </c>
      <c r="S118" s="48" t="str">
        <f t="shared" si="70"/>
        <v/>
      </c>
      <c r="T118" s="48" t="str">
        <f t="shared" si="70"/>
        <v/>
      </c>
      <c r="U118" s="48" t="str">
        <f t="shared" si="70"/>
        <v/>
      </c>
      <c r="V118" s="48" t="str">
        <f t="shared" si="70"/>
        <v/>
      </c>
      <c r="W118" s="48" t="str">
        <f t="shared" si="70"/>
        <v/>
      </c>
      <c r="X118" s="48" t="str">
        <f t="shared" si="70"/>
        <v/>
      </c>
      <c r="Y118" s="48" t="str">
        <f t="shared" si="70"/>
        <v/>
      </c>
      <c r="Z118" s="48" t="str">
        <f t="shared" si="70"/>
        <v/>
      </c>
      <c r="AA118" s="48" t="str">
        <f t="shared" si="70"/>
        <v/>
      </c>
      <c r="AB118" s="48" t="str">
        <f t="shared" si="70"/>
        <v/>
      </c>
      <c r="AC118" s="48" t="str">
        <f t="shared" si="70"/>
        <v/>
      </c>
      <c r="AD118" s="48" t="str">
        <f t="shared" si="70"/>
        <v/>
      </c>
    </row>
    <row r="119" spans="1:30" ht="13.5" customHeight="1">
      <c r="A119" s="26"/>
      <c r="B119" s="26"/>
      <c r="C119" s="26"/>
      <c r="D119" s="49" t="str">
        <f t="shared" ref="D119:P119" si="71">IF(D118="","",IF(D118=$R118,1,IF(D118=$S118,2,IF(D118=$T118,3,IF(D118=$U118,4,IF(D118=$V118,5,IF(D118=$W118,6,IF(D118=$X118,7,IF(D118=$Y118,8,IF(D118=$Z118,9,IF(D118=$AA118,10,IF(D118=$AB118,11,IF(D118=$AC118,12,IF(D118=$AD118,13))))))))))))))</f>
        <v/>
      </c>
      <c r="E119" s="49" t="str">
        <f t="shared" si="71"/>
        <v/>
      </c>
      <c r="F119" s="49" t="str">
        <f t="shared" si="71"/>
        <v/>
      </c>
      <c r="G119" s="49" t="str">
        <f t="shared" si="71"/>
        <v/>
      </c>
      <c r="H119" s="49" t="str">
        <f t="shared" si="71"/>
        <v/>
      </c>
      <c r="I119" s="49" t="str">
        <f t="shared" si="71"/>
        <v/>
      </c>
      <c r="J119" s="49" t="str">
        <f t="shared" si="71"/>
        <v/>
      </c>
      <c r="K119" s="49" t="str">
        <f t="shared" si="71"/>
        <v/>
      </c>
      <c r="L119" s="49" t="str">
        <f t="shared" si="71"/>
        <v/>
      </c>
      <c r="M119" s="49" t="str">
        <f t="shared" si="71"/>
        <v/>
      </c>
      <c r="N119" s="49" t="str">
        <f t="shared" si="71"/>
        <v/>
      </c>
      <c r="O119" s="49" t="str">
        <f t="shared" si="71"/>
        <v/>
      </c>
      <c r="P119" s="49" t="str">
        <f t="shared" si="71"/>
        <v/>
      </c>
      <c r="Q119" s="43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</row>
    <row r="120" spans="1:30" ht="13.5" customHeight="1">
      <c r="A120" s="26"/>
      <c r="B120" s="26"/>
      <c r="C120" s="26"/>
      <c r="D120" s="48" t="str">
        <f>IF(Tracking!J84="","",IF(Person!$C$20="m",ABS((Tracking!J84/4-D$45)),ABS((Tracking!J84/4-D$48))))</f>
        <v/>
      </c>
      <c r="E120" s="48" t="str">
        <f>IF(Tracking!K84="","",IF(Person!$C$20="m",ABS((Tracking!K84/4-E$45)),ABS((Tracking!K84/4-E$48))))</f>
        <v/>
      </c>
      <c r="F120" s="48" t="str">
        <f>IF(Tracking!L84="","",IF(Person!$C$20="m",ABS((Tracking!L84/4-F$45)),ABS((Tracking!L84/4-F$48))))</f>
        <v/>
      </c>
      <c r="G120" s="48" t="str">
        <f>IF(Tracking!M84="","",IF(Person!$C$20="m",ABS((Tracking!M84/4-G$45)),ABS((Tracking!M84/4-G$48))))</f>
        <v/>
      </c>
      <c r="H120" s="48" t="str">
        <f>IF(Tracking!N84="","",IF(Person!$C$20="m",ABS((Tracking!N84/4-H$45)),ABS((Tracking!N84/4-H$48))))</f>
        <v/>
      </c>
      <c r="I120" s="48" t="str">
        <f>IF(Tracking!O84="","",IF(Person!$C$20="m",ABS((Tracking!O84/4-I$45)),ABS((Tracking!O84/4-I$48))))</f>
        <v/>
      </c>
      <c r="J120" s="48" t="str">
        <f>IF(Tracking!P84="","",IF(Person!$C$20="m",ABS((Tracking!P84/4-J$45)),ABS((Tracking!P84/4-J$48))))</f>
        <v/>
      </c>
      <c r="K120" s="48" t="str">
        <f>IF(Tracking!Q84="","",IF(Person!$C$20="m",ABS((Tracking!Q84/4-K$45)),ABS((Tracking!Q84/4-K$48))))</f>
        <v/>
      </c>
      <c r="L120" s="48" t="str">
        <f>IF(Tracking!R84="","",IF(Person!$C$20="m",ABS((Tracking!R84/4-L$45)),ABS((Tracking!R84/4-L$48))))</f>
        <v/>
      </c>
      <c r="M120" s="48" t="str">
        <f>IF(Tracking!S84="","",IF(Person!$C$20="m",ABS((Tracking!S84/4-M$45)),ABS((Tracking!S84/4-M$48))))</f>
        <v/>
      </c>
      <c r="N120" s="48" t="str">
        <f>IF(Tracking!T84="","",IF(Person!$C$20="m",ABS((Tracking!T84/4-N$45)),ABS((Tracking!T84/4-N$48))))</f>
        <v/>
      </c>
      <c r="O120" s="48" t="str">
        <f>IF(Tracking!U84="","",IF(Person!$C$20="m",ABS((Tracking!U84/4-O$45)),ABS((Tracking!U84/4-O$48))))</f>
        <v/>
      </c>
      <c r="P120" s="48" t="str">
        <f>IF(Tracking!V84="","",IF(Person!$C$20="m",ABS((Tracking!V84/4-P$45)),ABS((Tracking!V84/4-P$48))))</f>
        <v/>
      </c>
      <c r="Q120" s="43"/>
      <c r="R120" s="48" t="str">
        <f t="shared" ref="R120:AD120" si="72">IF(ISERROR(LARGE($D120:$P120,R$44)),"",LARGE($D120:$P120,R$44))</f>
        <v/>
      </c>
      <c r="S120" s="48" t="str">
        <f t="shared" si="72"/>
        <v/>
      </c>
      <c r="T120" s="48" t="str">
        <f t="shared" si="72"/>
        <v/>
      </c>
      <c r="U120" s="48" t="str">
        <f t="shared" si="72"/>
        <v/>
      </c>
      <c r="V120" s="48" t="str">
        <f t="shared" si="72"/>
        <v/>
      </c>
      <c r="W120" s="48" t="str">
        <f t="shared" si="72"/>
        <v/>
      </c>
      <c r="X120" s="48" t="str">
        <f t="shared" si="72"/>
        <v/>
      </c>
      <c r="Y120" s="48" t="str">
        <f t="shared" si="72"/>
        <v/>
      </c>
      <c r="Z120" s="48" t="str">
        <f t="shared" si="72"/>
        <v/>
      </c>
      <c r="AA120" s="48" t="str">
        <f t="shared" si="72"/>
        <v/>
      </c>
      <c r="AB120" s="48" t="str">
        <f t="shared" si="72"/>
        <v/>
      </c>
      <c r="AC120" s="48" t="str">
        <f t="shared" si="72"/>
        <v/>
      </c>
      <c r="AD120" s="48" t="str">
        <f t="shared" si="72"/>
        <v/>
      </c>
    </row>
    <row r="121" spans="1:30" ht="13.5" customHeight="1">
      <c r="A121" s="26"/>
      <c r="B121" s="26"/>
      <c r="C121" s="26"/>
      <c r="D121" s="49" t="str">
        <f t="shared" ref="D121:P121" si="73">IF(D120="","",IF(D120=$R120,1,IF(D120=$S120,2,IF(D120=$T120,3,IF(D120=$U120,4,IF(D120=$V120,5,IF(D120=$W120,6,IF(D120=$X120,7,IF(D120=$Y120,8,IF(D120=$Z120,9,IF(D120=$AA120,10,IF(D120=$AB120,11,IF(D120=$AC120,12,IF(D120=$AD120,13))))))))))))))</f>
        <v/>
      </c>
      <c r="E121" s="49" t="str">
        <f t="shared" si="73"/>
        <v/>
      </c>
      <c r="F121" s="49" t="str">
        <f t="shared" si="73"/>
        <v/>
      </c>
      <c r="G121" s="49" t="str">
        <f t="shared" si="73"/>
        <v/>
      </c>
      <c r="H121" s="49" t="str">
        <f t="shared" si="73"/>
        <v/>
      </c>
      <c r="I121" s="49" t="str">
        <f t="shared" si="73"/>
        <v/>
      </c>
      <c r="J121" s="49" t="str">
        <f t="shared" si="73"/>
        <v/>
      </c>
      <c r="K121" s="49" t="str">
        <f t="shared" si="73"/>
        <v/>
      </c>
      <c r="L121" s="49" t="str">
        <f t="shared" si="73"/>
        <v/>
      </c>
      <c r="M121" s="49" t="str">
        <f t="shared" si="73"/>
        <v/>
      </c>
      <c r="N121" s="49" t="str">
        <f t="shared" si="73"/>
        <v/>
      </c>
      <c r="O121" s="49" t="str">
        <f t="shared" si="73"/>
        <v/>
      </c>
      <c r="P121" s="49" t="str">
        <f t="shared" si="73"/>
        <v/>
      </c>
      <c r="Q121" s="43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</row>
    <row r="122" spans="1:30" ht="13.5" customHeight="1">
      <c r="A122" s="26"/>
      <c r="B122" s="26"/>
      <c r="C122" s="26"/>
      <c r="D122" s="48" t="str">
        <f>IF(Tracking!J86="","",IF(Person!$C$20="m",ABS((Tracking!J86/4-D$45)),ABS((Tracking!J86/4-D$48))))</f>
        <v/>
      </c>
      <c r="E122" s="48" t="str">
        <f>IF(Tracking!K86="","",IF(Person!$C$20="m",ABS((Tracking!K86/4-E$45)),ABS((Tracking!K86/4-E$48))))</f>
        <v/>
      </c>
      <c r="F122" s="48" t="str">
        <f>IF(Tracking!L86="","",IF(Person!$C$20="m",ABS((Tracking!L86/4-F$45)),ABS((Tracking!L86/4-F$48))))</f>
        <v/>
      </c>
      <c r="G122" s="48" t="str">
        <f>IF(Tracking!M86="","",IF(Person!$C$20="m",ABS((Tracking!M86/4-G$45)),ABS((Tracking!M86/4-G$48))))</f>
        <v/>
      </c>
      <c r="H122" s="48" t="str">
        <f>IF(Tracking!N86="","",IF(Person!$C$20="m",ABS((Tracking!N86/4-H$45)),ABS((Tracking!N86/4-H$48))))</f>
        <v/>
      </c>
      <c r="I122" s="48" t="str">
        <f>IF(Tracking!O86="","",IF(Person!$C$20="m",ABS((Tracking!O86/4-I$45)),ABS((Tracking!O86/4-I$48))))</f>
        <v/>
      </c>
      <c r="J122" s="48" t="str">
        <f>IF(Tracking!P86="","",IF(Person!$C$20="m",ABS((Tracking!P86/4-J$45)),ABS((Tracking!P86/4-J$48))))</f>
        <v/>
      </c>
      <c r="K122" s="48" t="str">
        <f>IF(Tracking!Q86="","",IF(Person!$C$20="m",ABS((Tracking!Q86/4-K$45)),ABS((Tracking!Q86/4-K$48))))</f>
        <v/>
      </c>
      <c r="L122" s="48" t="str">
        <f>IF(Tracking!R86="","",IF(Person!$C$20="m",ABS((Tracking!R86/4-L$45)),ABS((Tracking!R86/4-L$48))))</f>
        <v/>
      </c>
      <c r="M122" s="48" t="str">
        <f>IF(Tracking!S86="","",IF(Person!$C$20="m",ABS((Tracking!S86/4-M$45)),ABS((Tracking!S86/4-M$48))))</f>
        <v/>
      </c>
      <c r="N122" s="48" t="str">
        <f>IF(Tracking!T86="","",IF(Person!$C$20="m",ABS((Tracking!T86/4-N$45)),ABS((Tracking!T86/4-N$48))))</f>
        <v/>
      </c>
      <c r="O122" s="48" t="str">
        <f>IF(Tracking!U86="","",IF(Person!$C$20="m",ABS((Tracking!U86/4-O$45)),ABS((Tracking!U86/4-O$48))))</f>
        <v/>
      </c>
      <c r="P122" s="48" t="str">
        <f>IF(Tracking!V86="","",IF(Person!$C$20="m",ABS((Tracking!V86/4-P$45)),ABS((Tracking!V86/4-P$48))))</f>
        <v/>
      </c>
      <c r="Q122" s="43"/>
      <c r="R122" s="48" t="str">
        <f t="shared" ref="R122:AD122" si="74">IF(ISERROR(LARGE($D122:$P122,R$44)),"",LARGE($D122:$P122,R$44))</f>
        <v/>
      </c>
      <c r="S122" s="48" t="str">
        <f t="shared" si="74"/>
        <v/>
      </c>
      <c r="T122" s="48" t="str">
        <f t="shared" si="74"/>
        <v/>
      </c>
      <c r="U122" s="48" t="str">
        <f t="shared" si="74"/>
        <v/>
      </c>
      <c r="V122" s="48" t="str">
        <f t="shared" si="74"/>
        <v/>
      </c>
      <c r="W122" s="48" t="str">
        <f t="shared" si="74"/>
        <v/>
      </c>
      <c r="X122" s="48" t="str">
        <f t="shared" si="74"/>
        <v/>
      </c>
      <c r="Y122" s="48" t="str">
        <f t="shared" si="74"/>
        <v/>
      </c>
      <c r="Z122" s="48" t="str">
        <f t="shared" si="74"/>
        <v/>
      </c>
      <c r="AA122" s="48" t="str">
        <f t="shared" si="74"/>
        <v/>
      </c>
      <c r="AB122" s="48" t="str">
        <f t="shared" si="74"/>
        <v/>
      </c>
      <c r="AC122" s="48" t="str">
        <f t="shared" si="74"/>
        <v/>
      </c>
      <c r="AD122" s="48" t="str">
        <f t="shared" si="74"/>
        <v/>
      </c>
    </row>
    <row r="123" spans="1:30" ht="13.5" customHeight="1">
      <c r="A123" s="26"/>
      <c r="B123" s="26"/>
      <c r="C123" s="26"/>
      <c r="D123" s="49" t="str">
        <f t="shared" ref="D123:P123" si="75">IF(D122="","",IF(D122=$R122,1,IF(D122=$S122,2,IF(D122=$T122,3,IF(D122=$U122,4,IF(D122=$V122,5,IF(D122=$W122,6,IF(D122=$X122,7,IF(D122=$Y122,8,IF(D122=$Z122,9,IF(D122=$AA122,10,IF(D122=$AB122,11,IF(D122=$AC122,12,IF(D122=$AD122,13))))))))))))))</f>
        <v/>
      </c>
      <c r="E123" s="49" t="str">
        <f t="shared" si="75"/>
        <v/>
      </c>
      <c r="F123" s="49" t="str">
        <f t="shared" si="75"/>
        <v/>
      </c>
      <c r="G123" s="49" t="str">
        <f t="shared" si="75"/>
        <v/>
      </c>
      <c r="H123" s="49" t="str">
        <f t="shared" si="75"/>
        <v/>
      </c>
      <c r="I123" s="49" t="str">
        <f t="shared" si="75"/>
        <v/>
      </c>
      <c r="J123" s="49" t="str">
        <f t="shared" si="75"/>
        <v/>
      </c>
      <c r="K123" s="49" t="str">
        <f t="shared" si="75"/>
        <v/>
      </c>
      <c r="L123" s="49" t="str">
        <f t="shared" si="75"/>
        <v/>
      </c>
      <c r="M123" s="49" t="str">
        <f t="shared" si="75"/>
        <v/>
      </c>
      <c r="N123" s="49" t="str">
        <f t="shared" si="75"/>
        <v/>
      </c>
      <c r="O123" s="49" t="str">
        <f t="shared" si="75"/>
        <v/>
      </c>
      <c r="P123" s="49" t="str">
        <f t="shared" si="75"/>
        <v/>
      </c>
      <c r="Q123" s="43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</row>
    <row r="124" spans="1:30" ht="13.5" customHeight="1">
      <c r="A124" s="26"/>
      <c r="B124" s="26"/>
      <c r="C124" s="26"/>
      <c r="D124" s="48" t="str">
        <f>IF(Tracking!J88="","",IF(Person!$C$20="m",ABS((Tracking!J88/4-D$45)),ABS((Tracking!J88/4-D$48))))</f>
        <v/>
      </c>
      <c r="E124" s="48" t="str">
        <f>IF(Tracking!K88="","",IF(Person!$C$20="m",ABS((Tracking!K88/4-E$45)),ABS((Tracking!K88/4-E$48))))</f>
        <v/>
      </c>
      <c r="F124" s="48" t="str">
        <f>IF(Tracking!L88="","",IF(Person!$C$20="m",ABS((Tracking!L88/4-F$45)),ABS((Tracking!L88/4-F$48))))</f>
        <v/>
      </c>
      <c r="G124" s="48" t="str">
        <f>IF(Tracking!M88="","",IF(Person!$C$20="m",ABS((Tracking!M88/4-G$45)),ABS((Tracking!M88/4-G$48))))</f>
        <v/>
      </c>
      <c r="H124" s="48" t="str">
        <f>IF(Tracking!N88="","",IF(Person!$C$20="m",ABS((Tracking!N88/4-H$45)),ABS((Tracking!N88/4-H$48))))</f>
        <v/>
      </c>
      <c r="I124" s="48" t="str">
        <f>IF(Tracking!O88="","",IF(Person!$C$20="m",ABS((Tracking!O88/4-I$45)),ABS((Tracking!O88/4-I$48))))</f>
        <v/>
      </c>
      <c r="J124" s="48" t="str">
        <f>IF(Tracking!P88="","",IF(Person!$C$20="m",ABS((Tracking!P88/4-J$45)),ABS((Tracking!P88/4-J$48))))</f>
        <v/>
      </c>
      <c r="K124" s="48" t="str">
        <f>IF(Tracking!Q88="","",IF(Person!$C$20="m",ABS((Tracking!Q88/4-K$45)),ABS((Tracking!Q88/4-K$48))))</f>
        <v/>
      </c>
      <c r="L124" s="48" t="str">
        <f>IF(Tracking!R88="","",IF(Person!$C$20="m",ABS((Tracking!R88/4-L$45)),ABS((Tracking!R88/4-L$48))))</f>
        <v/>
      </c>
      <c r="M124" s="48" t="str">
        <f>IF(Tracking!S88="","",IF(Person!$C$20="m",ABS((Tracking!S88/4-M$45)),ABS((Tracking!S88/4-M$48))))</f>
        <v/>
      </c>
      <c r="N124" s="48" t="str">
        <f>IF(Tracking!T88="","",IF(Person!$C$20="m",ABS((Tracking!T88/4-N$45)),ABS((Tracking!T88/4-N$48))))</f>
        <v/>
      </c>
      <c r="O124" s="48" t="str">
        <f>IF(Tracking!U88="","",IF(Person!$C$20="m",ABS((Tracking!U88/4-O$45)),ABS((Tracking!U88/4-O$48))))</f>
        <v/>
      </c>
      <c r="P124" s="48" t="str">
        <f>IF(Tracking!V88="","",IF(Person!$C$20="m",ABS((Tracking!V88/4-P$45)),ABS((Tracking!V88/4-P$48))))</f>
        <v/>
      </c>
      <c r="Q124" s="43"/>
      <c r="R124" s="48" t="str">
        <f t="shared" ref="R124:AD124" si="76">IF(ISERROR(LARGE($D124:$P124,R$44)),"",LARGE($D124:$P124,R$44))</f>
        <v/>
      </c>
      <c r="S124" s="48" t="str">
        <f t="shared" si="76"/>
        <v/>
      </c>
      <c r="T124" s="48" t="str">
        <f t="shared" si="76"/>
        <v/>
      </c>
      <c r="U124" s="48" t="str">
        <f t="shared" si="76"/>
        <v/>
      </c>
      <c r="V124" s="48" t="str">
        <f t="shared" si="76"/>
        <v/>
      </c>
      <c r="W124" s="48" t="str">
        <f t="shared" si="76"/>
        <v/>
      </c>
      <c r="X124" s="48" t="str">
        <f t="shared" si="76"/>
        <v/>
      </c>
      <c r="Y124" s="48" t="str">
        <f t="shared" si="76"/>
        <v/>
      </c>
      <c r="Z124" s="48" t="str">
        <f t="shared" si="76"/>
        <v/>
      </c>
      <c r="AA124" s="48" t="str">
        <f t="shared" si="76"/>
        <v/>
      </c>
      <c r="AB124" s="48" t="str">
        <f t="shared" si="76"/>
        <v/>
      </c>
      <c r="AC124" s="48" t="str">
        <f t="shared" si="76"/>
        <v/>
      </c>
      <c r="AD124" s="48" t="str">
        <f t="shared" si="76"/>
        <v/>
      </c>
    </row>
    <row r="125" spans="1:30" ht="13.5" customHeight="1">
      <c r="A125" s="26"/>
      <c r="B125" s="26"/>
      <c r="C125" s="26"/>
      <c r="D125" s="49" t="str">
        <f t="shared" ref="D125:P125" si="77">IF(D124="","",IF(D124=$R124,1,IF(D124=$S124,2,IF(D124=$T124,3,IF(D124=$U124,4,IF(D124=$V124,5,IF(D124=$W124,6,IF(D124=$X124,7,IF(D124=$Y124,8,IF(D124=$Z124,9,IF(D124=$AA124,10,IF(D124=$AB124,11,IF(D124=$AC124,12,IF(D124=$AD124,13))))))))))))))</f>
        <v/>
      </c>
      <c r="E125" s="49" t="str">
        <f t="shared" si="77"/>
        <v/>
      </c>
      <c r="F125" s="49" t="str">
        <f t="shared" si="77"/>
        <v/>
      </c>
      <c r="G125" s="49" t="str">
        <f t="shared" si="77"/>
        <v/>
      </c>
      <c r="H125" s="49" t="str">
        <f t="shared" si="77"/>
        <v/>
      </c>
      <c r="I125" s="49" t="str">
        <f t="shared" si="77"/>
        <v/>
      </c>
      <c r="J125" s="49" t="str">
        <f t="shared" si="77"/>
        <v/>
      </c>
      <c r="K125" s="49" t="str">
        <f t="shared" si="77"/>
        <v/>
      </c>
      <c r="L125" s="49" t="str">
        <f t="shared" si="77"/>
        <v/>
      </c>
      <c r="M125" s="49" t="str">
        <f t="shared" si="77"/>
        <v/>
      </c>
      <c r="N125" s="49" t="str">
        <f t="shared" si="77"/>
        <v/>
      </c>
      <c r="O125" s="49" t="str">
        <f t="shared" si="77"/>
        <v/>
      </c>
      <c r="P125" s="49" t="str">
        <f t="shared" si="77"/>
        <v/>
      </c>
      <c r="Q125" s="43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</row>
    <row r="126" spans="1:30" ht="13.5" customHeight="1">
      <c r="A126" s="26"/>
      <c r="B126" s="26"/>
      <c r="C126" s="26"/>
      <c r="D126" s="48" t="str">
        <f>IF(Tracking!J90="","",IF(Person!$C$20="m",ABS((Tracking!J90/4-D$45)),ABS((Tracking!J90/4-D$48))))</f>
        <v/>
      </c>
      <c r="E126" s="48" t="str">
        <f>IF(Tracking!K90="","",IF(Person!$C$20="m",ABS((Tracking!K90/4-E$45)),ABS((Tracking!K90/4-E$48))))</f>
        <v/>
      </c>
      <c r="F126" s="48" t="str">
        <f>IF(Tracking!L90="","",IF(Person!$C$20="m",ABS((Tracking!L90/4-F$45)),ABS((Tracking!L90/4-F$48))))</f>
        <v/>
      </c>
      <c r="G126" s="48" t="str">
        <f>IF(Tracking!M90="","",IF(Person!$C$20="m",ABS((Tracking!M90/4-G$45)),ABS((Tracking!M90/4-G$48))))</f>
        <v/>
      </c>
      <c r="H126" s="48" t="str">
        <f>IF(Tracking!N90="","",IF(Person!$C$20="m",ABS((Tracking!N90/4-H$45)),ABS((Tracking!N90/4-H$48))))</f>
        <v/>
      </c>
      <c r="I126" s="48" t="str">
        <f>IF(Tracking!O90="","",IF(Person!$C$20="m",ABS((Tracking!O90/4-I$45)),ABS((Tracking!O90/4-I$48))))</f>
        <v/>
      </c>
      <c r="J126" s="48" t="str">
        <f>IF(Tracking!P90="","",IF(Person!$C$20="m",ABS((Tracking!P90/4-J$45)),ABS((Tracking!P90/4-J$48))))</f>
        <v/>
      </c>
      <c r="K126" s="48" t="str">
        <f>IF(Tracking!Q90="","",IF(Person!$C$20="m",ABS((Tracking!Q90/4-K$45)),ABS((Tracking!Q90/4-K$48))))</f>
        <v/>
      </c>
      <c r="L126" s="48" t="str">
        <f>IF(Tracking!R90="","",IF(Person!$C$20="m",ABS((Tracking!R90/4-L$45)),ABS((Tracking!R90/4-L$48))))</f>
        <v/>
      </c>
      <c r="M126" s="48" t="str">
        <f>IF(Tracking!S90="","",IF(Person!$C$20="m",ABS((Tracking!S90/4-M$45)),ABS((Tracking!S90/4-M$48))))</f>
        <v/>
      </c>
      <c r="N126" s="48" t="str">
        <f>IF(Tracking!T90="","",IF(Person!$C$20="m",ABS((Tracking!T90/4-N$45)),ABS((Tracking!T90/4-N$48))))</f>
        <v/>
      </c>
      <c r="O126" s="48" t="str">
        <f>IF(Tracking!U90="","",IF(Person!$C$20="m",ABS((Tracking!U90/4-O$45)),ABS((Tracking!U90/4-O$48))))</f>
        <v/>
      </c>
      <c r="P126" s="48" t="str">
        <f>IF(Tracking!V90="","",IF(Person!$C$20="m",ABS((Tracking!V90/4-P$45)),ABS((Tracking!V90/4-P$48))))</f>
        <v/>
      </c>
      <c r="Q126" s="43"/>
      <c r="R126" s="48" t="str">
        <f t="shared" ref="R126:AD126" si="78">IF(ISERROR(LARGE($D126:$P126,R$44)),"",LARGE($D126:$P126,R$44))</f>
        <v/>
      </c>
      <c r="S126" s="48" t="str">
        <f t="shared" si="78"/>
        <v/>
      </c>
      <c r="T126" s="48" t="str">
        <f t="shared" si="78"/>
        <v/>
      </c>
      <c r="U126" s="48" t="str">
        <f t="shared" si="78"/>
        <v/>
      </c>
      <c r="V126" s="48" t="str">
        <f t="shared" si="78"/>
        <v/>
      </c>
      <c r="W126" s="48" t="str">
        <f t="shared" si="78"/>
        <v/>
      </c>
      <c r="X126" s="48" t="str">
        <f t="shared" si="78"/>
        <v/>
      </c>
      <c r="Y126" s="48" t="str">
        <f t="shared" si="78"/>
        <v/>
      </c>
      <c r="Z126" s="48" t="str">
        <f t="shared" si="78"/>
        <v/>
      </c>
      <c r="AA126" s="48" t="str">
        <f t="shared" si="78"/>
        <v/>
      </c>
      <c r="AB126" s="48" t="str">
        <f t="shared" si="78"/>
        <v/>
      </c>
      <c r="AC126" s="48" t="str">
        <f t="shared" si="78"/>
        <v/>
      </c>
      <c r="AD126" s="48" t="str">
        <f t="shared" si="78"/>
        <v/>
      </c>
    </row>
    <row r="127" spans="1:30" ht="13.5" customHeight="1">
      <c r="A127" s="26"/>
      <c r="B127" s="26"/>
      <c r="C127" s="26"/>
      <c r="D127" s="49" t="str">
        <f t="shared" ref="D127:P127" si="79">IF(D126="","",IF(D126=$R126,1,IF(D126=$S126,2,IF(D126=$T126,3,IF(D126=$U126,4,IF(D126=$V126,5,IF(D126=$W126,6,IF(D126=$X126,7,IF(D126=$Y126,8,IF(D126=$Z126,9,IF(D126=$AA126,10,IF(D126=$AB126,11,IF(D126=$AC126,12,IF(D126=$AD126,13))))))))))))))</f>
        <v/>
      </c>
      <c r="E127" s="49" t="str">
        <f t="shared" si="79"/>
        <v/>
      </c>
      <c r="F127" s="49" t="str">
        <f t="shared" si="79"/>
        <v/>
      </c>
      <c r="G127" s="49" t="str">
        <f t="shared" si="79"/>
        <v/>
      </c>
      <c r="H127" s="49" t="str">
        <f t="shared" si="79"/>
        <v/>
      </c>
      <c r="I127" s="49" t="str">
        <f t="shared" si="79"/>
        <v/>
      </c>
      <c r="J127" s="49" t="str">
        <f t="shared" si="79"/>
        <v/>
      </c>
      <c r="K127" s="49" t="str">
        <f t="shared" si="79"/>
        <v/>
      </c>
      <c r="L127" s="49" t="str">
        <f t="shared" si="79"/>
        <v/>
      </c>
      <c r="M127" s="49" t="str">
        <f t="shared" si="79"/>
        <v/>
      </c>
      <c r="N127" s="49" t="str">
        <f t="shared" si="79"/>
        <v/>
      </c>
      <c r="O127" s="49" t="str">
        <f t="shared" si="79"/>
        <v/>
      </c>
      <c r="P127" s="49" t="str">
        <f t="shared" si="79"/>
        <v/>
      </c>
      <c r="Q127" s="43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</row>
    <row r="128" spans="1:30" ht="13.5" customHeight="1">
      <c r="A128" s="26"/>
      <c r="B128" s="26"/>
      <c r="C128" s="26"/>
      <c r="D128" s="48" t="str">
        <f>IF(Tracking!J92="","",IF(Person!$C$20="m",ABS((Tracking!J92/4-D$45)),ABS((Tracking!J92/4-D$48))))</f>
        <v/>
      </c>
      <c r="E128" s="48" t="str">
        <f>IF(Tracking!K92="","",IF(Person!$C$20="m",ABS((Tracking!K92/4-E$45)),ABS((Tracking!K92/4-E$48))))</f>
        <v/>
      </c>
      <c r="F128" s="48" t="str">
        <f>IF(Tracking!L92="","",IF(Person!$C$20="m",ABS((Tracking!L92/4-F$45)),ABS((Tracking!L92/4-F$48))))</f>
        <v/>
      </c>
      <c r="G128" s="48" t="str">
        <f>IF(Tracking!M92="","",IF(Person!$C$20="m",ABS((Tracking!M92/4-G$45)),ABS((Tracking!M92/4-G$48))))</f>
        <v/>
      </c>
      <c r="H128" s="48" t="str">
        <f>IF(Tracking!N92="","",IF(Person!$C$20="m",ABS((Tracking!N92/4-H$45)),ABS((Tracking!N92/4-H$48))))</f>
        <v/>
      </c>
      <c r="I128" s="48" t="str">
        <f>IF(Tracking!O92="","",IF(Person!$C$20="m",ABS((Tracking!O92/4-I$45)),ABS((Tracking!O92/4-I$48))))</f>
        <v/>
      </c>
      <c r="J128" s="48" t="str">
        <f>IF(Tracking!P92="","",IF(Person!$C$20="m",ABS((Tracking!P92/4-J$45)),ABS((Tracking!P92/4-J$48))))</f>
        <v/>
      </c>
      <c r="K128" s="48" t="str">
        <f>IF(Tracking!Q92="","",IF(Person!$C$20="m",ABS((Tracking!Q92/4-K$45)),ABS((Tracking!Q92/4-K$48))))</f>
        <v/>
      </c>
      <c r="L128" s="48" t="str">
        <f>IF(Tracking!R92="","",IF(Person!$C$20="m",ABS((Tracking!R92/4-L$45)),ABS((Tracking!R92/4-L$48))))</f>
        <v/>
      </c>
      <c r="M128" s="48" t="str">
        <f>IF(Tracking!S92="","",IF(Person!$C$20="m",ABS((Tracking!S92/4-M$45)),ABS((Tracking!S92/4-M$48))))</f>
        <v/>
      </c>
      <c r="N128" s="48" t="str">
        <f>IF(Tracking!T92="","",IF(Person!$C$20="m",ABS((Tracking!T92/4-N$45)),ABS((Tracking!T92/4-N$48))))</f>
        <v/>
      </c>
      <c r="O128" s="48" t="str">
        <f>IF(Tracking!U92="","",IF(Person!$C$20="m",ABS((Tracking!U92/4-O$45)),ABS((Tracking!U92/4-O$48))))</f>
        <v/>
      </c>
      <c r="P128" s="48" t="str">
        <f>IF(Tracking!V92="","",IF(Person!$C$20="m",ABS((Tracking!V92/4-P$45)),ABS((Tracking!V92/4-P$48))))</f>
        <v/>
      </c>
      <c r="Q128" s="43"/>
      <c r="R128" s="48" t="str">
        <f t="shared" ref="R128:AD128" si="80">IF(ISERROR(LARGE($D128:$P128,R$44)),"",LARGE($D128:$P128,R$44))</f>
        <v/>
      </c>
      <c r="S128" s="48" t="str">
        <f t="shared" si="80"/>
        <v/>
      </c>
      <c r="T128" s="48" t="str">
        <f t="shared" si="80"/>
        <v/>
      </c>
      <c r="U128" s="48" t="str">
        <f t="shared" si="80"/>
        <v/>
      </c>
      <c r="V128" s="48" t="str">
        <f t="shared" si="80"/>
        <v/>
      </c>
      <c r="W128" s="48" t="str">
        <f t="shared" si="80"/>
        <v/>
      </c>
      <c r="X128" s="48" t="str">
        <f t="shared" si="80"/>
        <v/>
      </c>
      <c r="Y128" s="48" t="str">
        <f t="shared" si="80"/>
        <v/>
      </c>
      <c r="Z128" s="48" t="str">
        <f t="shared" si="80"/>
        <v/>
      </c>
      <c r="AA128" s="48" t="str">
        <f t="shared" si="80"/>
        <v/>
      </c>
      <c r="AB128" s="48" t="str">
        <f t="shared" si="80"/>
        <v/>
      </c>
      <c r="AC128" s="48" t="str">
        <f t="shared" si="80"/>
        <v/>
      </c>
      <c r="AD128" s="48" t="str">
        <f t="shared" si="80"/>
        <v/>
      </c>
    </row>
    <row r="129" spans="1:30" ht="13.5" customHeight="1">
      <c r="A129" s="26"/>
      <c r="B129" s="26"/>
      <c r="C129" s="26"/>
      <c r="D129" s="49" t="str">
        <f t="shared" ref="D129:P129" si="81">IF(D128="","",IF(D128=$R128,1,IF(D128=$S128,2,IF(D128=$T128,3,IF(D128=$U128,4,IF(D128=$V128,5,IF(D128=$W128,6,IF(D128=$X128,7,IF(D128=$Y128,8,IF(D128=$Z128,9,IF(D128=$AA128,10,IF(D128=$AB128,11,IF(D128=$AC128,12,IF(D128=$AD128,13))))))))))))))</f>
        <v/>
      </c>
      <c r="E129" s="49" t="str">
        <f t="shared" si="81"/>
        <v/>
      </c>
      <c r="F129" s="49" t="str">
        <f t="shared" si="81"/>
        <v/>
      </c>
      <c r="G129" s="49" t="str">
        <f t="shared" si="81"/>
        <v/>
      </c>
      <c r="H129" s="49" t="str">
        <f t="shared" si="81"/>
        <v/>
      </c>
      <c r="I129" s="49" t="str">
        <f t="shared" si="81"/>
        <v/>
      </c>
      <c r="J129" s="49" t="str">
        <f t="shared" si="81"/>
        <v/>
      </c>
      <c r="K129" s="49" t="str">
        <f t="shared" si="81"/>
        <v/>
      </c>
      <c r="L129" s="49" t="str">
        <f t="shared" si="81"/>
        <v/>
      </c>
      <c r="M129" s="49" t="str">
        <f t="shared" si="81"/>
        <v/>
      </c>
      <c r="N129" s="49" t="str">
        <f t="shared" si="81"/>
        <v/>
      </c>
      <c r="O129" s="49" t="str">
        <f t="shared" si="81"/>
        <v/>
      </c>
      <c r="P129" s="49" t="str">
        <f t="shared" si="81"/>
        <v/>
      </c>
      <c r="Q129" s="43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</row>
    <row r="130" spans="1:30" ht="13.5" customHeight="1">
      <c r="A130" s="26"/>
      <c r="B130" s="26"/>
      <c r="C130" s="26"/>
      <c r="D130" s="48" t="str">
        <f>IF(Tracking!J94="","",IF(Person!$C$20="m",ABS((Tracking!J94/4-D$45)),ABS((Tracking!J94/4-D$48))))</f>
        <v/>
      </c>
      <c r="E130" s="48" t="str">
        <f>IF(Tracking!K94="","",IF(Person!$C$20="m",ABS((Tracking!K94/4-E$45)),ABS((Tracking!K94/4-E$48))))</f>
        <v/>
      </c>
      <c r="F130" s="48" t="str">
        <f>IF(Tracking!L94="","",IF(Person!$C$20="m",ABS((Tracking!L94/4-F$45)),ABS((Tracking!L94/4-F$48))))</f>
        <v/>
      </c>
      <c r="G130" s="48" t="str">
        <f>IF(Tracking!M94="","",IF(Person!$C$20="m",ABS((Tracking!M94/4-G$45)),ABS((Tracking!M94/4-G$48))))</f>
        <v/>
      </c>
      <c r="H130" s="48" t="str">
        <f>IF(Tracking!N94="","",IF(Person!$C$20="m",ABS((Tracking!N94/4-H$45)),ABS((Tracking!N94/4-H$48))))</f>
        <v/>
      </c>
      <c r="I130" s="48" t="str">
        <f>IF(Tracking!O94="","",IF(Person!$C$20="m",ABS((Tracking!O94/4-I$45)),ABS((Tracking!O94/4-I$48))))</f>
        <v/>
      </c>
      <c r="J130" s="48" t="str">
        <f>IF(Tracking!P94="","",IF(Person!$C$20="m",ABS((Tracking!P94/4-J$45)),ABS((Tracking!P94/4-J$48))))</f>
        <v/>
      </c>
      <c r="K130" s="48" t="str">
        <f>IF(Tracking!Q94="","",IF(Person!$C$20="m",ABS((Tracking!Q94/4-K$45)),ABS((Tracking!Q94/4-K$48))))</f>
        <v/>
      </c>
      <c r="L130" s="48" t="str">
        <f>IF(Tracking!R94="","",IF(Person!$C$20="m",ABS((Tracking!R94/4-L$45)),ABS((Tracking!R94/4-L$48))))</f>
        <v/>
      </c>
      <c r="M130" s="48" t="str">
        <f>IF(Tracking!S94="","",IF(Person!$C$20="m",ABS((Tracking!S94/4-M$45)),ABS((Tracking!S94/4-M$48))))</f>
        <v/>
      </c>
      <c r="N130" s="48" t="str">
        <f>IF(Tracking!T94="","",IF(Person!$C$20="m",ABS((Tracking!T94/4-N$45)),ABS((Tracking!T94/4-N$48))))</f>
        <v/>
      </c>
      <c r="O130" s="48" t="str">
        <f>IF(Tracking!U94="","",IF(Person!$C$20="m",ABS((Tracking!U94/4-O$45)),ABS((Tracking!U94/4-O$48))))</f>
        <v/>
      </c>
      <c r="P130" s="48" t="str">
        <f>IF(Tracking!V94="","",IF(Person!$C$20="m",ABS((Tracking!V94/4-P$45)),ABS((Tracking!V94/4-P$48))))</f>
        <v/>
      </c>
      <c r="Q130" s="43"/>
      <c r="R130" s="48" t="str">
        <f t="shared" ref="R130:AD130" si="82">IF(ISERROR(LARGE($D130:$P130,R$44)),"",LARGE($D130:$P130,R$44))</f>
        <v/>
      </c>
      <c r="S130" s="48" t="str">
        <f t="shared" si="82"/>
        <v/>
      </c>
      <c r="T130" s="48" t="str">
        <f t="shared" si="82"/>
        <v/>
      </c>
      <c r="U130" s="48" t="str">
        <f t="shared" si="82"/>
        <v/>
      </c>
      <c r="V130" s="48" t="str">
        <f t="shared" si="82"/>
        <v/>
      </c>
      <c r="W130" s="48" t="str">
        <f t="shared" si="82"/>
        <v/>
      </c>
      <c r="X130" s="48" t="str">
        <f t="shared" si="82"/>
        <v/>
      </c>
      <c r="Y130" s="48" t="str">
        <f t="shared" si="82"/>
        <v/>
      </c>
      <c r="Z130" s="48" t="str">
        <f t="shared" si="82"/>
        <v/>
      </c>
      <c r="AA130" s="48" t="str">
        <f t="shared" si="82"/>
        <v/>
      </c>
      <c r="AB130" s="48" t="str">
        <f t="shared" si="82"/>
        <v/>
      </c>
      <c r="AC130" s="48" t="str">
        <f t="shared" si="82"/>
        <v/>
      </c>
      <c r="AD130" s="48" t="str">
        <f t="shared" si="82"/>
        <v/>
      </c>
    </row>
    <row r="131" spans="1:30" ht="13.5" customHeight="1">
      <c r="A131" s="26"/>
      <c r="B131" s="26"/>
      <c r="C131" s="26"/>
      <c r="D131" s="49" t="str">
        <f t="shared" ref="D131:P131" si="83">IF(D130="","",IF(D130=$R130,1,IF(D130=$S130,2,IF(D130=$T130,3,IF(D130=$U130,4,IF(D130=$V130,5,IF(D130=$W130,6,IF(D130=$X130,7,IF(D130=$Y130,8,IF(D130=$Z130,9,IF(D130=$AA130,10,IF(D130=$AB130,11,IF(D130=$AC130,12,IF(D130=$AD130,13))))))))))))))</f>
        <v/>
      </c>
      <c r="E131" s="49" t="str">
        <f t="shared" si="83"/>
        <v/>
      </c>
      <c r="F131" s="49" t="str">
        <f t="shared" si="83"/>
        <v/>
      </c>
      <c r="G131" s="49" t="str">
        <f t="shared" si="83"/>
        <v/>
      </c>
      <c r="H131" s="49" t="str">
        <f t="shared" si="83"/>
        <v/>
      </c>
      <c r="I131" s="49" t="str">
        <f t="shared" si="83"/>
        <v/>
      </c>
      <c r="J131" s="49" t="str">
        <f t="shared" si="83"/>
        <v/>
      </c>
      <c r="K131" s="49" t="str">
        <f t="shared" si="83"/>
        <v/>
      </c>
      <c r="L131" s="49" t="str">
        <f t="shared" si="83"/>
        <v/>
      </c>
      <c r="M131" s="49" t="str">
        <f t="shared" si="83"/>
        <v/>
      </c>
      <c r="N131" s="49" t="str">
        <f t="shared" si="83"/>
        <v/>
      </c>
      <c r="O131" s="49" t="str">
        <f t="shared" si="83"/>
        <v/>
      </c>
      <c r="P131" s="49" t="str">
        <f t="shared" si="83"/>
        <v/>
      </c>
      <c r="Q131" s="43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</row>
    <row r="132" spans="1:30" ht="13.5" customHeight="1">
      <c r="A132" s="26"/>
      <c r="B132" s="26"/>
      <c r="C132" s="26"/>
      <c r="D132" s="48" t="str">
        <f>IF(Tracking!J96="","",IF(Person!$C$20="m",ABS((Tracking!J96/4-D$45)),ABS((Tracking!J96/4-D$48))))</f>
        <v/>
      </c>
      <c r="E132" s="48" t="str">
        <f>IF(Tracking!K96="","",IF(Person!$C$20="m",ABS((Tracking!K96/4-E$45)),ABS((Tracking!K96/4-E$48))))</f>
        <v/>
      </c>
      <c r="F132" s="48" t="str">
        <f>IF(Tracking!L96="","",IF(Person!$C$20="m",ABS((Tracking!L96/4-F$45)),ABS((Tracking!L96/4-F$48))))</f>
        <v/>
      </c>
      <c r="G132" s="48" t="str">
        <f>IF(Tracking!M96="","",IF(Person!$C$20="m",ABS((Tracking!M96/4-G$45)),ABS((Tracking!M96/4-G$48))))</f>
        <v/>
      </c>
      <c r="H132" s="48" t="str">
        <f>IF(Tracking!N96="","",IF(Person!$C$20="m",ABS((Tracking!N96/4-H$45)),ABS((Tracking!N96/4-H$48))))</f>
        <v/>
      </c>
      <c r="I132" s="48" t="str">
        <f>IF(Tracking!O96="","",IF(Person!$C$20="m",ABS((Tracking!O96/4-I$45)),ABS((Tracking!O96/4-I$48))))</f>
        <v/>
      </c>
      <c r="J132" s="48" t="str">
        <f>IF(Tracking!P96="","",IF(Person!$C$20="m",ABS((Tracking!P96/4-J$45)),ABS((Tracking!P96/4-J$48))))</f>
        <v/>
      </c>
      <c r="K132" s="48" t="str">
        <f>IF(Tracking!Q96="","",IF(Person!$C$20="m",ABS((Tracking!Q96/4-K$45)),ABS((Tracking!Q96/4-K$48))))</f>
        <v/>
      </c>
      <c r="L132" s="48" t="str">
        <f>IF(Tracking!R96="","",IF(Person!$C$20="m",ABS((Tracking!R96/4-L$45)),ABS((Tracking!R96/4-L$48))))</f>
        <v/>
      </c>
      <c r="M132" s="48" t="str">
        <f>IF(Tracking!S96="","",IF(Person!$C$20="m",ABS((Tracking!S96/4-M$45)),ABS((Tracking!S96/4-M$48))))</f>
        <v/>
      </c>
      <c r="N132" s="48" t="str">
        <f>IF(Tracking!T96="","",IF(Person!$C$20="m",ABS((Tracking!T96/4-N$45)),ABS((Tracking!T96/4-N$48))))</f>
        <v/>
      </c>
      <c r="O132" s="48" t="str">
        <f>IF(Tracking!U96="","",IF(Person!$C$20="m",ABS((Tracking!U96/4-O$45)),ABS((Tracking!U96/4-O$48))))</f>
        <v/>
      </c>
      <c r="P132" s="48" t="str">
        <f>IF(Tracking!V96="","",IF(Person!$C$20="m",ABS((Tracking!V96/4-P$45)),ABS((Tracking!V96/4-P$48))))</f>
        <v/>
      </c>
      <c r="Q132" s="43"/>
      <c r="R132" s="48" t="str">
        <f t="shared" ref="R132:AD132" si="84">IF(ISERROR(LARGE($D132:$P132,R$44)),"",LARGE($D132:$P132,R$44))</f>
        <v/>
      </c>
      <c r="S132" s="48" t="str">
        <f t="shared" si="84"/>
        <v/>
      </c>
      <c r="T132" s="48" t="str">
        <f t="shared" si="84"/>
        <v/>
      </c>
      <c r="U132" s="48" t="str">
        <f t="shared" si="84"/>
        <v/>
      </c>
      <c r="V132" s="48" t="str">
        <f t="shared" si="84"/>
        <v/>
      </c>
      <c r="W132" s="48" t="str">
        <f t="shared" si="84"/>
        <v/>
      </c>
      <c r="X132" s="48" t="str">
        <f t="shared" si="84"/>
        <v/>
      </c>
      <c r="Y132" s="48" t="str">
        <f t="shared" si="84"/>
        <v/>
      </c>
      <c r="Z132" s="48" t="str">
        <f t="shared" si="84"/>
        <v/>
      </c>
      <c r="AA132" s="48" t="str">
        <f t="shared" si="84"/>
        <v/>
      </c>
      <c r="AB132" s="48" t="str">
        <f t="shared" si="84"/>
        <v/>
      </c>
      <c r="AC132" s="48" t="str">
        <f t="shared" si="84"/>
        <v/>
      </c>
      <c r="AD132" s="48" t="str">
        <f t="shared" si="84"/>
        <v/>
      </c>
    </row>
    <row r="133" spans="1:30" ht="13.5" customHeight="1">
      <c r="A133" s="26"/>
      <c r="B133" s="26"/>
      <c r="C133" s="26"/>
      <c r="D133" s="49" t="str">
        <f t="shared" ref="D133:P133" si="85">IF(D132="","",IF(D132=$R132,1,IF(D132=$S132,2,IF(D132=$T132,3,IF(D132=$U132,4,IF(D132=$V132,5,IF(D132=$W132,6,IF(D132=$X132,7,IF(D132=$Y132,8,IF(D132=$Z132,9,IF(D132=$AA132,10,IF(D132=$AB132,11,IF(D132=$AC132,12,IF(D132=$AD132,13))))))))))))))</f>
        <v/>
      </c>
      <c r="E133" s="49" t="str">
        <f t="shared" si="85"/>
        <v/>
      </c>
      <c r="F133" s="49" t="str">
        <f t="shared" si="85"/>
        <v/>
      </c>
      <c r="G133" s="49" t="str">
        <f t="shared" si="85"/>
        <v/>
      </c>
      <c r="H133" s="49" t="str">
        <f t="shared" si="85"/>
        <v/>
      </c>
      <c r="I133" s="49" t="str">
        <f t="shared" si="85"/>
        <v/>
      </c>
      <c r="J133" s="49" t="str">
        <f t="shared" si="85"/>
        <v/>
      </c>
      <c r="K133" s="49" t="str">
        <f t="shared" si="85"/>
        <v/>
      </c>
      <c r="L133" s="49" t="str">
        <f t="shared" si="85"/>
        <v/>
      </c>
      <c r="M133" s="49" t="str">
        <f t="shared" si="85"/>
        <v/>
      </c>
      <c r="N133" s="49" t="str">
        <f t="shared" si="85"/>
        <v/>
      </c>
      <c r="O133" s="49" t="str">
        <f t="shared" si="85"/>
        <v/>
      </c>
      <c r="P133" s="49" t="str">
        <f t="shared" si="85"/>
        <v/>
      </c>
      <c r="Q133" s="43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</row>
    <row r="134" spans="1:30" ht="13.5" customHeight="1">
      <c r="A134" s="26"/>
      <c r="B134" s="26"/>
      <c r="C134" s="26"/>
      <c r="D134" s="48" t="str">
        <f>IF(Tracking!J98="","",IF(Person!$C$20="m",ABS((Tracking!J98/4-D$45)),ABS((Tracking!J98/4-D$48))))</f>
        <v/>
      </c>
      <c r="E134" s="48" t="str">
        <f>IF(Tracking!K98="","",IF(Person!$C$20="m",ABS((Tracking!K98/4-E$45)),ABS((Tracking!K98/4-E$48))))</f>
        <v/>
      </c>
      <c r="F134" s="48" t="str">
        <f>IF(Tracking!L98="","",IF(Person!$C$20="m",ABS((Tracking!L98/4-F$45)),ABS((Tracking!L98/4-F$48))))</f>
        <v/>
      </c>
      <c r="G134" s="48" t="str">
        <f>IF(Tracking!M98="","",IF(Person!$C$20="m",ABS((Tracking!M98/4-G$45)),ABS((Tracking!M98/4-G$48))))</f>
        <v/>
      </c>
      <c r="H134" s="48" t="str">
        <f>IF(Tracking!N98="","",IF(Person!$C$20="m",ABS((Tracking!N98/4-H$45)),ABS((Tracking!N98/4-H$48))))</f>
        <v/>
      </c>
      <c r="I134" s="48" t="str">
        <f>IF(Tracking!O98="","",IF(Person!$C$20="m",ABS((Tracking!O98/4-I$45)),ABS((Tracking!O98/4-I$48))))</f>
        <v/>
      </c>
      <c r="J134" s="48" t="str">
        <f>IF(Tracking!P98="","",IF(Person!$C$20="m",ABS((Tracking!P98/4-J$45)),ABS((Tracking!P98/4-J$48))))</f>
        <v/>
      </c>
      <c r="K134" s="48" t="str">
        <f>IF(Tracking!Q98="","",IF(Person!$C$20="m",ABS((Tracking!Q98/4-K$45)),ABS((Tracking!Q98/4-K$48))))</f>
        <v/>
      </c>
      <c r="L134" s="48" t="str">
        <f>IF(Tracking!R98="","",IF(Person!$C$20="m",ABS((Tracking!R98/4-L$45)),ABS((Tracking!R98/4-L$48))))</f>
        <v/>
      </c>
      <c r="M134" s="48" t="str">
        <f>IF(Tracking!S98="","",IF(Person!$C$20="m",ABS((Tracking!S98/4-M$45)),ABS((Tracking!S98/4-M$48))))</f>
        <v/>
      </c>
      <c r="N134" s="48" t="str">
        <f>IF(Tracking!T98="","",IF(Person!$C$20="m",ABS((Tracking!T98/4-N$45)),ABS((Tracking!T98/4-N$48))))</f>
        <v/>
      </c>
      <c r="O134" s="48" t="str">
        <f>IF(Tracking!U98="","",IF(Person!$C$20="m",ABS((Tracking!U98/4-O$45)),ABS((Tracking!U98/4-O$48))))</f>
        <v/>
      </c>
      <c r="P134" s="48" t="str">
        <f>IF(Tracking!V98="","",IF(Person!$C$20="m",ABS((Tracking!V98/4-P$45)),ABS((Tracking!V98/4-P$48))))</f>
        <v/>
      </c>
      <c r="Q134" s="43"/>
      <c r="R134" s="48" t="str">
        <f t="shared" ref="R134:AD134" si="86">IF(ISERROR(LARGE($D134:$P134,R$44)),"",LARGE($D134:$P134,R$44))</f>
        <v/>
      </c>
      <c r="S134" s="48" t="str">
        <f t="shared" si="86"/>
        <v/>
      </c>
      <c r="T134" s="48" t="str">
        <f t="shared" si="86"/>
        <v/>
      </c>
      <c r="U134" s="48" t="str">
        <f t="shared" si="86"/>
        <v/>
      </c>
      <c r="V134" s="48" t="str">
        <f t="shared" si="86"/>
        <v/>
      </c>
      <c r="W134" s="48" t="str">
        <f t="shared" si="86"/>
        <v/>
      </c>
      <c r="X134" s="48" t="str">
        <f t="shared" si="86"/>
        <v/>
      </c>
      <c r="Y134" s="48" t="str">
        <f t="shared" si="86"/>
        <v/>
      </c>
      <c r="Z134" s="48" t="str">
        <f t="shared" si="86"/>
        <v/>
      </c>
      <c r="AA134" s="48" t="str">
        <f t="shared" si="86"/>
        <v/>
      </c>
      <c r="AB134" s="48" t="str">
        <f t="shared" si="86"/>
        <v/>
      </c>
      <c r="AC134" s="48" t="str">
        <f t="shared" si="86"/>
        <v/>
      </c>
      <c r="AD134" s="48" t="str">
        <f t="shared" si="86"/>
        <v/>
      </c>
    </row>
    <row r="135" spans="1:30" ht="13.5" customHeight="1">
      <c r="A135" s="26"/>
      <c r="B135" s="26"/>
      <c r="C135" s="26"/>
      <c r="D135" s="49" t="str">
        <f t="shared" ref="D135:P135" si="87">IF(D134="","",IF(D134=$R134,1,IF(D134=$S134,2,IF(D134=$T134,3,IF(D134=$U134,4,IF(D134=$V134,5,IF(D134=$W134,6,IF(D134=$X134,7,IF(D134=$Y134,8,IF(D134=$Z134,9,IF(D134=$AA134,10,IF(D134=$AB134,11,IF(D134=$AC134,12,IF(D134=$AD134,13))))))))))))))</f>
        <v/>
      </c>
      <c r="E135" s="49" t="str">
        <f t="shared" si="87"/>
        <v/>
      </c>
      <c r="F135" s="49" t="str">
        <f t="shared" si="87"/>
        <v/>
      </c>
      <c r="G135" s="49" t="str">
        <f t="shared" si="87"/>
        <v/>
      </c>
      <c r="H135" s="49" t="str">
        <f t="shared" si="87"/>
        <v/>
      </c>
      <c r="I135" s="49" t="str">
        <f t="shared" si="87"/>
        <v/>
      </c>
      <c r="J135" s="49" t="str">
        <f t="shared" si="87"/>
        <v/>
      </c>
      <c r="K135" s="49" t="str">
        <f t="shared" si="87"/>
        <v/>
      </c>
      <c r="L135" s="49" t="str">
        <f t="shared" si="87"/>
        <v/>
      </c>
      <c r="M135" s="49" t="str">
        <f t="shared" si="87"/>
        <v/>
      </c>
      <c r="N135" s="49" t="str">
        <f t="shared" si="87"/>
        <v/>
      </c>
      <c r="O135" s="49" t="str">
        <f t="shared" si="87"/>
        <v/>
      </c>
      <c r="P135" s="49" t="str">
        <f t="shared" si="87"/>
        <v/>
      </c>
      <c r="Q135" s="43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</row>
    <row r="136" spans="1:30" ht="13.5" customHeight="1">
      <c r="A136" s="26"/>
      <c r="B136" s="26"/>
      <c r="C136" s="26"/>
      <c r="D136" s="48" t="str">
        <f>IF(Tracking!J100="","",IF(Person!$C$20="m",ABS((Tracking!J100/4-D$45)),ABS((Tracking!J100/4-D$48))))</f>
        <v/>
      </c>
      <c r="E136" s="48" t="str">
        <f>IF(Tracking!K100="","",IF(Person!$C$20="m",ABS((Tracking!K100/4-E$45)),ABS((Tracking!K100/4-E$48))))</f>
        <v/>
      </c>
      <c r="F136" s="48" t="str">
        <f>IF(Tracking!L100="","",IF(Person!$C$20="m",ABS((Tracking!L100/4-F$45)),ABS((Tracking!L100/4-F$48))))</f>
        <v/>
      </c>
      <c r="G136" s="48" t="str">
        <f>IF(Tracking!M100="","",IF(Person!$C$20="m",ABS((Tracking!M100/4-G$45)),ABS((Tracking!M100/4-G$48))))</f>
        <v/>
      </c>
      <c r="H136" s="48" t="str">
        <f>IF(Tracking!N100="","",IF(Person!$C$20="m",ABS((Tracking!N100/4-H$45)),ABS((Tracking!N100/4-H$48))))</f>
        <v/>
      </c>
      <c r="I136" s="48" t="str">
        <f>IF(Tracking!O100="","",IF(Person!$C$20="m",ABS((Tracking!O100/4-I$45)),ABS((Tracking!O100/4-I$48))))</f>
        <v/>
      </c>
      <c r="J136" s="48" t="str">
        <f>IF(Tracking!P100="","",IF(Person!$C$20="m",ABS((Tracking!P100/4-J$45)),ABS((Tracking!P100/4-J$48))))</f>
        <v/>
      </c>
      <c r="K136" s="48" t="str">
        <f>IF(Tracking!Q100="","",IF(Person!$C$20="m",ABS((Tracking!Q100/4-K$45)),ABS((Tracking!Q100/4-K$48))))</f>
        <v/>
      </c>
      <c r="L136" s="48" t="str">
        <f>IF(Tracking!R100="","",IF(Person!$C$20="m",ABS((Tracking!R100/4-L$45)),ABS((Tracking!R100/4-L$48))))</f>
        <v/>
      </c>
      <c r="M136" s="48" t="str">
        <f>IF(Tracking!S100="","",IF(Person!$C$20="m",ABS((Tracking!S100/4-M$45)),ABS((Tracking!S100/4-M$48))))</f>
        <v/>
      </c>
      <c r="N136" s="48" t="str">
        <f>IF(Tracking!T100="","",IF(Person!$C$20="m",ABS((Tracking!T100/4-N$45)),ABS((Tracking!T100/4-N$48))))</f>
        <v/>
      </c>
      <c r="O136" s="48" t="str">
        <f>IF(Tracking!U100="","",IF(Person!$C$20="m",ABS((Tracking!U100/4-O$45)),ABS((Tracking!U100/4-O$48))))</f>
        <v/>
      </c>
      <c r="P136" s="48" t="str">
        <f>IF(Tracking!V100="","",IF(Person!$C$20="m",ABS((Tracking!V100/4-P$45)),ABS((Tracking!V100/4-P$48))))</f>
        <v/>
      </c>
      <c r="Q136" s="43"/>
      <c r="R136" s="48" t="str">
        <f t="shared" ref="R136:AD136" si="88">IF(ISERROR(LARGE($D136:$P136,R$44)),"",LARGE($D136:$P136,R$44))</f>
        <v/>
      </c>
      <c r="S136" s="48" t="str">
        <f t="shared" si="88"/>
        <v/>
      </c>
      <c r="T136" s="48" t="str">
        <f t="shared" si="88"/>
        <v/>
      </c>
      <c r="U136" s="48" t="str">
        <f t="shared" si="88"/>
        <v/>
      </c>
      <c r="V136" s="48" t="str">
        <f t="shared" si="88"/>
        <v/>
      </c>
      <c r="W136" s="48" t="str">
        <f t="shared" si="88"/>
        <v/>
      </c>
      <c r="X136" s="48" t="str">
        <f t="shared" si="88"/>
        <v/>
      </c>
      <c r="Y136" s="48" t="str">
        <f t="shared" si="88"/>
        <v/>
      </c>
      <c r="Z136" s="48" t="str">
        <f t="shared" si="88"/>
        <v/>
      </c>
      <c r="AA136" s="48" t="str">
        <f t="shared" si="88"/>
        <v/>
      </c>
      <c r="AB136" s="48" t="str">
        <f t="shared" si="88"/>
        <v/>
      </c>
      <c r="AC136" s="48" t="str">
        <f t="shared" si="88"/>
        <v/>
      </c>
      <c r="AD136" s="48" t="str">
        <f t="shared" si="88"/>
        <v/>
      </c>
    </row>
    <row r="137" spans="1:30" ht="13.5" customHeight="1">
      <c r="A137" s="26"/>
      <c r="B137" s="26"/>
      <c r="C137" s="26"/>
      <c r="D137" s="49" t="str">
        <f t="shared" ref="D137:P137" si="89">IF(D136="","",IF(D136=$R136,1,IF(D136=$S136,2,IF(D136=$T136,3,IF(D136=$U136,4,IF(D136=$V136,5,IF(D136=$W136,6,IF(D136=$X136,7,IF(D136=$Y136,8,IF(D136=$Z136,9,IF(D136=$AA136,10,IF(D136=$AB136,11,IF(D136=$AC136,12,IF(D136=$AD136,13))))))))))))))</f>
        <v/>
      </c>
      <c r="E137" s="49" t="str">
        <f t="shared" si="89"/>
        <v/>
      </c>
      <c r="F137" s="49" t="str">
        <f t="shared" si="89"/>
        <v/>
      </c>
      <c r="G137" s="49" t="str">
        <f t="shared" si="89"/>
        <v/>
      </c>
      <c r="H137" s="49" t="str">
        <f t="shared" si="89"/>
        <v/>
      </c>
      <c r="I137" s="49" t="str">
        <f t="shared" si="89"/>
        <v/>
      </c>
      <c r="J137" s="49" t="str">
        <f t="shared" si="89"/>
        <v/>
      </c>
      <c r="K137" s="49" t="str">
        <f t="shared" si="89"/>
        <v/>
      </c>
      <c r="L137" s="49" t="str">
        <f t="shared" si="89"/>
        <v/>
      </c>
      <c r="M137" s="49" t="str">
        <f t="shared" si="89"/>
        <v/>
      </c>
      <c r="N137" s="49" t="str">
        <f t="shared" si="89"/>
        <v/>
      </c>
      <c r="O137" s="49" t="str">
        <f t="shared" si="89"/>
        <v/>
      </c>
      <c r="P137" s="49" t="str">
        <f t="shared" si="89"/>
        <v/>
      </c>
      <c r="Q137" s="43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</row>
    <row r="138" spans="1:30" ht="13.5" customHeight="1">
      <c r="A138" s="26"/>
      <c r="B138" s="26"/>
      <c r="C138" s="26"/>
      <c r="D138" s="48" t="str">
        <f>IF(Tracking!J102="","",IF(Person!$C$20="m",ABS((Tracking!J102/4-D$45)),ABS((Tracking!J102/4-D$48))))</f>
        <v/>
      </c>
      <c r="E138" s="48" t="str">
        <f>IF(Tracking!K102="","",IF(Person!$C$20="m",ABS((Tracking!K102/4-E$45)),ABS((Tracking!K102/4-E$48))))</f>
        <v/>
      </c>
      <c r="F138" s="48" t="str">
        <f>IF(Tracking!L102="","",IF(Person!$C$20="m",ABS((Tracking!L102/4-F$45)),ABS((Tracking!L102/4-F$48))))</f>
        <v/>
      </c>
      <c r="G138" s="48" t="str">
        <f>IF(Tracking!M102="","",IF(Person!$C$20="m",ABS((Tracking!M102/4-G$45)),ABS((Tracking!M102/4-G$48))))</f>
        <v/>
      </c>
      <c r="H138" s="48" t="str">
        <f>IF(Tracking!N102="","",IF(Person!$C$20="m",ABS((Tracking!N102/4-H$45)),ABS((Tracking!N102/4-H$48))))</f>
        <v/>
      </c>
      <c r="I138" s="48" t="str">
        <f>IF(Tracking!O102="","",IF(Person!$C$20="m",ABS((Tracking!O102/4-I$45)),ABS((Tracking!O102/4-I$48))))</f>
        <v/>
      </c>
      <c r="J138" s="48" t="str">
        <f>IF(Tracking!P102="","",IF(Person!$C$20="m",ABS((Tracking!P102/4-J$45)),ABS((Tracking!P102/4-J$48))))</f>
        <v/>
      </c>
      <c r="K138" s="48" t="str">
        <f>IF(Tracking!Q102="","",IF(Person!$C$20="m",ABS((Tracking!Q102/4-K$45)),ABS((Tracking!Q102/4-K$48))))</f>
        <v/>
      </c>
      <c r="L138" s="48" t="str">
        <f>IF(Tracking!R102="","",IF(Person!$C$20="m",ABS((Tracking!R102/4-L$45)),ABS((Tracking!R102/4-L$48))))</f>
        <v/>
      </c>
      <c r="M138" s="48" t="str">
        <f>IF(Tracking!S102="","",IF(Person!$C$20="m",ABS((Tracking!S102/4-M$45)),ABS((Tracking!S102/4-M$48))))</f>
        <v/>
      </c>
      <c r="N138" s="48" t="str">
        <f>IF(Tracking!T102="","",IF(Person!$C$20="m",ABS((Tracking!T102/4-N$45)),ABS((Tracking!T102/4-N$48))))</f>
        <v/>
      </c>
      <c r="O138" s="48" t="str">
        <f>IF(Tracking!U102="","",IF(Person!$C$20="m",ABS((Tracking!U102/4-O$45)),ABS((Tracking!U102/4-O$48))))</f>
        <v/>
      </c>
      <c r="P138" s="48" t="str">
        <f>IF(Tracking!V102="","",IF(Person!$C$20="m",ABS((Tracking!V102/4-P$45)),ABS((Tracking!V102/4-P$48))))</f>
        <v/>
      </c>
      <c r="Q138" s="43"/>
      <c r="R138" s="48" t="str">
        <f t="shared" ref="R138:AD138" si="90">IF(ISERROR(LARGE($D138:$P138,R$44)),"",LARGE($D138:$P138,R$44))</f>
        <v/>
      </c>
      <c r="S138" s="48" t="str">
        <f t="shared" si="90"/>
        <v/>
      </c>
      <c r="T138" s="48" t="str">
        <f t="shared" si="90"/>
        <v/>
      </c>
      <c r="U138" s="48" t="str">
        <f t="shared" si="90"/>
        <v/>
      </c>
      <c r="V138" s="48" t="str">
        <f t="shared" si="90"/>
        <v/>
      </c>
      <c r="W138" s="48" t="str">
        <f t="shared" si="90"/>
        <v/>
      </c>
      <c r="X138" s="48" t="str">
        <f t="shared" si="90"/>
        <v/>
      </c>
      <c r="Y138" s="48" t="str">
        <f t="shared" si="90"/>
        <v/>
      </c>
      <c r="Z138" s="48" t="str">
        <f t="shared" si="90"/>
        <v/>
      </c>
      <c r="AA138" s="48" t="str">
        <f t="shared" si="90"/>
        <v/>
      </c>
      <c r="AB138" s="48" t="str">
        <f t="shared" si="90"/>
        <v/>
      </c>
      <c r="AC138" s="48" t="str">
        <f t="shared" si="90"/>
        <v/>
      </c>
      <c r="AD138" s="48" t="str">
        <f t="shared" si="90"/>
        <v/>
      </c>
    </row>
    <row r="139" spans="1:30" ht="13.5" customHeight="1">
      <c r="A139" s="26"/>
      <c r="B139" s="26"/>
      <c r="C139" s="26"/>
      <c r="D139" s="49" t="str">
        <f t="shared" ref="D139:P139" si="91">IF(D138="","",IF(D138=$R138,1,IF(D138=$S138,2,IF(D138=$T138,3,IF(D138=$U138,4,IF(D138=$V138,5,IF(D138=$W138,6,IF(D138=$X138,7,IF(D138=$Y138,8,IF(D138=$Z138,9,IF(D138=$AA138,10,IF(D138=$AB138,11,IF(D138=$AC138,12,IF(D138=$AD138,13))))))))))))))</f>
        <v/>
      </c>
      <c r="E139" s="49" t="str">
        <f t="shared" si="91"/>
        <v/>
      </c>
      <c r="F139" s="49" t="str">
        <f t="shared" si="91"/>
        <v/>
      </c>
      <c r="G139" s="49" t="str">
        <f t="shared" si="91"/>
        <v/>
      </c>
      <c r="H139" s="49" t="str">
        <f t="shared" si="91"/>
        <v/>
      </c>
      <c r="I139" s="49" t="str">
        <f t="shared" si="91"/>
        <v/>
      </c>
      <c r="J139" s="49" t="str">
        <f t="shared" si="91"/>
        <v/>
      </c>
      <c r="K139" s="49" t="str">
        <f t="shared" si="91"/>
        <v/>
      </c>
      <c r="L139" s="49" t="str">
        <f t="shared" si="91"/>
        <v/>
      </c>
      <c r="M139" s="49" t="str">
        <f t="shared" si="91"/>
        <v/>
      </c>
      <c r="N139" s="49" t="str">
        <f t="shared" si="91"/>
        <v/>
      </c>
      <c r="O139" s="49" t="str">
        <f t="shared" si="91"/>
        <v/>
      </c>
      <c r="P139" s="49" t="str">
        <f t="shared" si="91"/>
        <v/>
      </c>
      <c r="Q139" s="43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</row>
    <row r="140" spans="1:30" ht="13.5" customHeight="1">
      <c r="A140" s="26"/>
      <c r="B140" s="26"/>
      <c r="C140" s="26"/>
      <c r="D140" s="48" t="str">
        <f>IF(Tracking!J104="","",IF(Person!$C$20="m",ABS((Tracking!J104/4-D$45)),ABS((Tracking!J104/4-D$48))))</f>
        <v/>
      </c>
      <c r="E140" s="48" t="str">
        <f>IF(Tracking!K104="","",IF(Person!$C$20="m",ABS((Tracking!K104/4-E$45)),ABS((Tracking!K104/4-E$48))))</f>
        <v/>
      </c>
      <c r="F140" s="48" t="str">
        <f>IF(Tracking!L104="","",IF(Person!$C$20="m",ABS((Tracking!L104/4-F$45)),ABS((Tracking!L104/4-F$48))))</f>
        <v/>
      </c>
      <c r="G140" s="48" t="str">
        <f>IF(Tracking!M104="","",IF(Person!$C$20="m",ABS((Tracking!M104/4-G$45)),ABS((Tracking!M104/4-G$48))))</f>
        <v/>
      </c>
      <c r="H140" s="48" t="str">
        <f>IF(Tracking!N104="","",IF(Person!$C$20="m",ABS((Tracking!N104/4-H$45)),ABS((Tracking!N104/4-H$48))))</f>
        <v/>
      </c>
      <c r="I140" s="48" t="str">
        <f>IF(Tracking!O104="","",IF(Person!$C$20="m",ABS((Tracking!O104/4-I$45)),ABS((Tracking!O104/4-I$48))))</f>
        <v/>
      </c>
      <c r="J140" s="48" t="str">
        <f>IF(Tracking!P104="","",IF(Person!$C$20="m",ABS((Tracking!P104/4-J$45)),ABS((Tracking!P104/4-J$48))))</f>
        <v/>
      </c>
      <c r="K140" s="48" t="str">
        <f>IF(Tracking!Q104="","",IF(Person!$C$20="m",ABS((Tracking!Q104/4-K$45)),ABS((Tracking!Q104/4-K$48))))</f>
        <v/>
      </c>
      <c r="L140" s="48" t="str">
        <f>IF(Tracking!R104="","",IF(Person!$C$20="m",ABS((Tracking!R104/4-L$45)),ABS((Tracking!R104/4-L$48))))</f>
        <v/>
      </c>
      <c r="M140" s="48" t="str">
        <f>IF(Tracking!S104="","",IF(Person!$C$20="m",ABS((Tracking!S104/4-M$45)),ABS((Tracking!S104/4-M$48))))</f>
        <v/>
      </c>
      <c r="N140" s="48" t="str">
        <f>IF(Tracking!T104="","",IF(Person!$C$20="m",ABS((Tracking!T104/4-N$45)),ABS((Tracking!T104/4-N$48))))</f>
        <v/>
      </c>
      <c r="O140" s="48" t="str">
        <f>IF(Tracking!U104="","",IF(Person!$C$20="m",ABS((Tracking!U104/4-O$45)),ABS((Tracking!U104/4-O$48))))</f>
        <v/>
      </c>
      <c r="P140" s="48" t="str">
        <f>IF(Tracking!V104="","",IF(Person!$C$20="m",ABS((Tracking!V104/4-P$45)),ABS((Tracking!V104/4-P$48))))</f>
        <v/>
      </c>
      <c r="Q140" s="43"/>
      <c r="R140" s="48" t="str">
        <f t="shared" ref="R140:AD140" si="92">IF(ISERROR(LARGE($D140:$P140,R$44)),"",LARGE($D140:$P140,R$44))</f>
        <v/>
      </c>
      <c r="S140" s="48" t="str">
        <f t="shared" si="92"/>
        <v/>
      </c>
      <c r="T140" s="48" t="str">
        <f t="shared" si="92"/>
        <v/>
      </c>
      <c r="U140" s="48" t="str">
        <f t="shared" si="92"/>
        <v/>
      </c>
      <c r="V140" s="48" t="str">
        <f t="shared" si="92"/>
        <v/>
      </c>
      <c r="W140" s="48" t="str">
        <f t="shared" si="92"/>
        <v/>
      </c>
      <c r="X140" s="48" t="str">
        <f t="shared" si="92"/>
        <v/>
      </c>
      <c r="Y140" s="48" t="str">
        <f t="shared" si="92"/>
        <v/>
      </c>
      <c r="Z140" s="48" t="str">
        <f t="shared" si="92"/>
        <v/>
      </c>
      <c r="AA140" s="48" t="str">
        <f t="shared" si="92"/>
        <v/>
      </c>
      <c r="AB140" s="48" t="str">
        <f t="shared" si="92"/>
        <v/>
      </c>
      <c r="AC140" s="48" t="str">
        <f t="shared" si="92"/>
        <v/>
      </c>
      <c r="AD140" s="48" t="str">
        <f t="shared" si="92"/>
        <v/>
      </c>
    </row>
    <row r="141" spans="1:30" ht="13.5" customHeight="1">
      <c r="A141" s="26"/>
      <c r="B141" s="26"/>
      <c r="C141" s="26"/>
      <c r="D141" s="49" t="str">
        <f t="shared" ref="D141:P141" si="93">IF(D140="","",IF(D140=$R140,1,IF(D140=$S140,2,IF(D140=$T140,3,IF(D140=$U140,4,IF(D140=$V140,5,IF(D140=$W140,6,IF(D140=$X140,7,IF(D140=$Y140,8,IF(D140=$Z140,9,IF(D140=$AA140,10,IF(D140=$AB140,11,IF(D140=$AC140,12,IF(D140=$AD140,13))))))))))))))</f>
        <v/>
      </c>
      <c r="E141" s="49" t="str">
        <f t="shared" si="93"/>
        <v/>
      </c>
      <c r="F141" s="49" t="str">
        <f t="shared" si="93"/>
        <v/>
      </c>
      <c r="G141" s="49" t="str">
        <f t="shared" si="93"/>
        <v/>
      </c>
      <c r="H141" s="49" t="str">
        <f t="shared" si="93"/>
        <v/>
      </c>
      <c r="I141" s="49" t="str">
        <f t="shared" si="93"/>
        <v/>
      </c>
      <c r="J141" s="49" t="str">
        <f t="shared" si="93"/>
        <v/>
      </c>
      <c r="K141" s="49" t="str">
        <f t="shared" si="93"/>
        <v/>
      </c>
      <c r="L141" s="49" t="str">
        <f t="shared" si="93"/>
        <v/>
      </c>
      <c r="M141" s="49" t="str">
        <f t="shared" si="93"/>
        <v/>
      </c>
      <c r="N141" s="49" t="str">
        <f t="shared" si="93"/>
        <v/>
      </c>
      <c r="O141" s="49" t="str">
        <f t="shared" si="93"/>
        <v/>
      </c>
      <c r="P141" s="49" t="str">
        <f t="shared" si="93"/>
        <v/>
      </c>
      <c r="Q141" s="43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</row>
    <row r="142" spans="1:30" ht="13.5" customHeight="1">
      <c r="A142" s="26"/>
      <c r="B142" s="26"/>
      <c r="C142" s="26"/>
      <c r="D142" s="48" t="str">
        <f>IF(Tracking!J106="","",IF(Person!$C$20="m",ABS((Tracking!J106/4-D$45)),ABS((Tracking!J106/4-D$48))))</f>
        <v/>
      </c>
      <c r="E142" s="48" t="str">
        <f>IF(Tracking!K106="","",IF(Person!$C$20="m",ABS((Tracking!K106/4-E$45)),ABS((Tracking!K106/4-E$48))))</f>
        <v/>
      </c>
      <c r="F142" s="48" t="str">
        <f>IF(Tracking!L106="","",IF(Person!$C$20="m",ABS((Tracking!L106/4-F$45)),ABS((Tracking!L106/4-F$48))))</f>
        <v/>
      </c>
      <c r="G142" s="48" t="str">
        <f>IF(Tracking!M106="","",IF(Person!$C$20="m",ABS((Tracking!M106/4-G$45)),ABS((Tracking!M106/4-G$48))))</f>
        <v/>
      </c>
      <c r="H142" s="48" t="str">
        <f>IF(Tracking!N106="","",IF(Person!$C$20="m",ABS((Tracking!N106/4-H$45)),ABS((Tracking!N106/4-H$48))))</f>
        <v/>
      </c>
      <c r="I142" s="48" t="str">
        <f>IF(Tracking!O106="","",IF(Person!$C$20="m",ABS((Tracking!O106/4-I$45)),ABS((Tracking!O106/4-I$48))))</f>
        <v/>
      </c>
      <c r="J142" s="48" t="str">
        <f>IF(Tracking!P106="","",IF(Person!$C$20="m",ABS((Tracking!P106/4-J$45)),ABS((Tracking!P106/4-J$48))))</f>
        <v/>
      </c>
      <c r="K142" s="48" t="str">
        <f>IF(Tracking!Q106="","",IF(Person!$C$20="m",ABS((Tracking!Q106/4-K$45)),ABS((Tracking!Q106/4-K$48))))</f>
        <v/>
      </c>
      <c r="L142" s="48" t="str">
        <f>IF(Tracking!R106="","",IF(Person!$C$20="m",ABS((Tracking!R106/4-L$45)),ABS((Tracking!R106/4-L$48))))</f>
        <v/>
      </c>
      <c r="M142" s="48" t="str">
        <f>IF(Tracking!S106="","",IF(Person!$C$20="m",ABS((Tracking!S106/4-M$45)),ABS((Tracking!S106/4-M$48))))</f>
        <v/>
      </c>
      <c r="N142" s="48" t="str">
        <f>IF(Tracking!T106="","",IF(Person!$C$20="m",ABS((Tracking!T106/4-N$45)),ABS((Tracking!T106/4-N$48))))</f>
        <v/>
      </c>
      <c r="O142" s="48" t="str">
        <f>IF(Tracking!U106="","",IF(Person!$C$20="m",ABS((Tracking!U106/4-O$45)),ABS((Tracking!U106/4-O$48))))</f>
        <v/>
      </c>
      <c r="P142" s="48" t="str">
        <f>IF(Tracking!V106="","",IF(Person!$C$20="m",ABS((Tracking!V106/4-P$45)),ABS((Tracking!V106/4-P$48))))</f>
        <v/>
      </c>
      <c r="Q142" s="43"/>
      <c r="R142" s="48" t="str">
        <f t="shared" ref="R142:AD142" si="94">IF(ISERROR(LARGE($D142:$P142,R$44)),"",LARGE($D142:$P142,R$44))</f>
        <v/>
      </c>
      <c r="S142" s="48" t="str">
        <f t="shared" si="94"/>
        <v/>
      </c>
      <c r="T142" s="48" t="str">
        <f t="shared" si="94"/>
        <v/>
      </c>
      <c r="U142" s="48" t="str">
        <f t="shared" si="94"/>
        <v/>
      </c>
      <c r="V142" s="48" t="str">
        <f t="shared" si="94"/>
        <v/>
      </c>
      <c r="W142" s="48" t="str">
        <f t="shared" si="94"/>
        <v/>
      </c>
      <c r="X142" s="48" t="str">
        <f t="shared" si="94"/>
        <v/>
      </c>
      <c r="Y142" s="48" t="str">
        <f t="shared" si="94"/>
        <v/>
      </c>
      <c r="Z142" s="48" t="str">
        <f t="shared" si="94"/>
        <v/>
      </c>
      <c r="AA142" s="48" t="str">
        <f t="shared" si="94"/>
        <v/>
      </c>
      <c r="AB142" s="48" t="str">
        <f t="shared" si="94"/>
        <v/>
      </c>
      <c r="AC142" s="48" t="str">
        <f t="shared" si="94"/>
        <v/>
      </c>
      <c r="AD142" s="48" t="str">
        <f t="shared" si="94"/>
        <v/>
      </c>
    </row>
    <row r="143" spans="1:30" ht="13.5" customHeight="1">
      <c r="A143" s="26"/>
      <c r="B143" s="26"/>
      <c r="C143" s="26"/>
      <c r="D143" s="49" t="str">
        <f t="shared" ref="D143:P143" si="95">IF(D142="","",IF(D142=$R142,1,IF(D142=$S142,2,IF(D142=$T142,3,IF(D142=$U142,4,IF(D142=$V142,5,IF(D142=$W142,6,IF(D142=$X142,7,IF(D142=$Y142,8,IF(D142=$Z142,9,IF(D142=$AA142,10,IF(D142=$AB142,11,IF(D142=$AC142,12,IF(D142=$AD142,13))))))))))))))</f>
        <v/>
      </c>
      <c r="E143" s="49" t="str">
        <f t="shared" si="95"/>
        <v/>
      </c>
      <c r="F143" s="49" t="str">
        <f t="shared" si="95"/>
        <v/>
      </c>
      <c r="G143" s="49" t="str">
        <f t="shared" si="95"/>
        <v/>
      </c>
      <c r="H143" s="49" t="str">
        <f t="shared" si="95"/>
        <v/>
      </c>
      <c r="I143" s="49" t="str">
        <f t="shared" si="95"/>
        <v/>
      </c>
      <c r="J143" s="49" t="str">
        <f t="shared" si="95"/>
        <v/>
      </c>
      <c r="K143" s="49" t="str">
        <f t="shared" si="95"/>
        <v/>
      </c>
      <c r="L143" s="49" t="str">
        <f t="shared" si="95"/>
        <v/>
      </c>
      <c r="M143" s="49" t="str">
        <f t="shared" si="95"/>
        <v/>
      </c>
      <c r="N143" s="49" t="str">
        <f t="shared" si="95"/>
        <v/>
      </c>
      <c r="O143" s="49" t="str">
        <f t="shared" si="95"/>
        <v/>
      </c>
      <c r="P143" s="49" t="str">
        <f t="shared" si="95"/>
        <v/>
      </c>
      <c r="Q143" s="43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</row>
    <row r="144" spans="1:30" ht="13.5" customHeight="1">
      <c r="A144" s="26"/>
      <c r="B144" s="26"/>
      <c r="C144" s="26"/>
      <c r="D144" s="48" t="str">
        <f>IF(Tracking!J108="","",IF(Person!$C$20="m",ABS((Tracking!J108/4-D$45)),ABS((Tracking!J108/4-D$48))))</f>
        <v/>
      </c>
      <c r="E144" s="48" t="str">
        <f>IF(Tracking!K108="","",IF(Person!$C$20="m",ABS((Tracking!K108/4-E$45)),ABS((Tracking!K108/4-E$48))))</f>
        <v/>
      </c>
      <c r="F144" s="48" t="str">
        <f>IF(Tracking!L108="","",IF(Person!$C$20="m",ABS((Tracking!L108/4-F$45)),ABS((Tracking!L108/4-F$48))))</f>
        <v/>
      </c>
      <c r="G144" s="48" t="str">
        <f>IF(Tracking!M108="","",IF(Person!$C$20="m",ABS((Tracking!M108/4-G$45)),ABS((Tracking!M108/4-G$48))))</f>
        <v/>
      </c>
      <c r="H144" s="48" t="str">
        <f>IF(Tracking!N108="","",IF(Person!$C$20="m",ABS((Tracking!N108/4-H$45)),ABS((Tracking!N108/4-H$48))))</f>
        <v/>
      </c>
      <c r="I144" s="48" t="str">
        <f>IF(Tracking!O108="","",IF(Person!$C$20="m",ABS((Tracking!O108/4-I$45)),ABS((Tracking!O108/4-I$48))))</f>
        <v/>
      </c>
      <c r="J144" s="48" t="str">
        <f>IF(Tracking!P108="","",IF(Person!$C$20="m",ABS((Tracking!P108/4-J$45)),ABS((Tracking!P108/4-J$48))))</f>
        <v/>
      </c>
      <c r="K144" s="48" t="str">
        <f>IF(Tracking!Q108="","",IF(Person!$C$20="m",ABS((Tracking!Q108/4-K$45)),ABS((Tracking!Q108/4-K$48))))</f>
        <v/>
      </c>
      <c r="L144" s="48" t="str">
        <f>IF(Tracking!R108="","",IF(Person!$C$20="m",ABS((Tracking!R108/4-L$45)),ABS((Tracking!R108/4-L$48))))</f>
        <v/>
      </c>
      <c r="M144" s="48" t="str">
        <f>IF(Tracking!S108="","",IF(Person!$C$20="m",ABS((Tracking!S108/4-M$45)),ABS((Tracking!S108/4-M$48))))</f>
        <v/>
      </c>
      <c r="N144" s="48" t="str">
        <f>IF(Tracking!T108="","",IF(Person!$C$20="m",ABS((Tracking!T108/4-N$45)),ABS((Tracking!T108/4-N$48))))</f>
        <v/>
      </c>
      <c r="O144" s="48" t="str">
        <f>IF(Tracking!U108="","",IF(Person!$C$20="m",ABS((Tracking!U108/4-O$45)),ABS((Tracking!U108/4-O$48))))</f>
        <v/>
      </c>
      <c r="P144" s="48" t="str">
        <f>IF(Tracking!V108="","",IF(Person!$C$20="m",ABS((Tracking!V108/4-P$45)),ABS((Tracking!V108/4-P$48))))</f>
        <v/>
      </c>
      <c r="Q144" s="43"/>
      <c r="R144" s="48" t="str">
        <f t="shared" ref="R144:AD144" si="96">IF(ISERROR(LARGE($D144:$P144,R$44)),"",LARGE($D144:$P144,R$44))</f>
        <v/>
      </c>
      <c r="S144" s="48" t="str">
        <f t="shared" si="96"/>
        <v/>
      </c>
      <c r="T144" s="48" t="str">
        <f t="shared" si="96"/>
        <v/>
      </c>
      <c r="U144" s="48" t="str">
        <f t="shared" si="96"/>
        <v/>
      </c>
      <c r="V144" s="48" t="str">
        <f t="shared" si="96"/>
        <v/>
      </c>
      <c r="W144" s="48" t="str">
        <f t="shared" si="96"/>
        <v/>
      </c>
      <c r="X144" s="48" t="str">
        <f t="shared" si="96"/>
        <v/>
      </c>
      <c r="Y144" s="48" t="str">
        <f t="shared" si="96"/>
        <v/>
      </c>
      <c r="Z144" s="48" t="str">
        <f t="shared" si="96"/>
        <v/>
      </c>
      <c r="AA144" s="48" t="str">
        <f t="shared" si="96"/>
        <v/>
      </c>
      <c r="AB144" s="48" t="str">
        <f t="shared" si="96"/>
        <v/>
      </c>
      <c r="AC144" s="48" t="str">
        <f t="shared" si="96"/>
        <v/>
      </c>
      <c r="AD144" s="48" t="str">
        <f t="shared" si="96"/>
        <v/>
      </c>
    </row>
    <row r="145" spans="1:30" ht="13.5" customHeight="1">
      <c r="A145" s="26"/>
      <c r="B145" s="26"/>
      <c r="C145" s="26"/>
      <c r="D145" s="49" t="str">
        <f t="shared" ref="D145:P145" si="97">IF(D144="","",IF(D144=$R144,1,IF(D144=$S144,2,IF(D144=$T144,3,IF(D144=$U144,4,IF(D144=$V144,5,IF(D144=$W144,6,IF(D144=$X144,7,IF(D144=$Y144,8,IF(D144=$Z144,9,IF(D144=$AA144,10,IF(D144=$AB144,11,IF(D144=$AC144,12,IF(D144=$AD144,13))))))))))))))</f>
        <v/>
      </c>
      <c r="E145" s="49" t="str">
        <f t="shared" si="97"/>
        <v/>
      </c>
      <c r="F145" s="49" t="str">
        <f t="shared" si="97"/>
        <v/>
      </c>
      <c r="G145" s="49" t="str">
        <f t="shared" si="97"/>
        <v/>
      </c>
      <c r="H145" s="49" t="str">
        <f t="shared" si="97"/>
        <v/>
      </c>
      <c r="I145" s="49" t="str">
        <f t="shared" si="97"/>
        <v/>
      </c>
      <c r="J145" s="49" t="str">
        <f t="shared" si="97"/>
        <v/>
      </c>
      <c r="K145" s="49" t="str">
        <f t="shared" si="97"/>
        <v/>
      </c>
      <c r="L145" s="49" t="str">
        <f t="shared" si="97"/>
        <v/>
      </c>
      <c r="M145" s="49" t="str">
        <f t="shared" si="97"/>
        <v/>
      </c>
      <c r="N145" s="49" t="str">
        <f t="shared" si="97"/>
        <v/>
      </c>
      <c r="O145" s="49" t="str">
        <f t="shared" si="97"/>
        <v/>
      </c>
      <c r="P145" s="49" t="str">
        <f t="shared" si="97"/>
        <v/>
      </c>
      <c r="Q145" s="43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</row>
    <row r="146" spans="1:30" ht="13.5" customHeight="1">
      <c r="A146" s="26"/>
      <c r="B146" s="26"/>
      <c r="C146" s="26"/>
      <c r="D146" s="48" t="str">
        <f>IF(Tracking!J110="","",IF(Person!$C$20="m",ABS((Tracking!J110/4-D$45)),ABS((Tracking!J110/4-D$48))))</f>
        <v/>
      </c>
      <c r="E146" s="48" t="str">
        <f>IF(Tracking!K110="","",IF(Person!$C$20="m",ABS((Tracking!K110/4-E$45)),ABS((Tracking!K110/4-E$48))))</f>
        <v/>
      </c>
      <c r="F146" s="48" t="str">
        <f>IF(Tracking!L110="","",IF(Person!$C$20="m",ABS((Tracking!L110/4-F$45)),ABS((Tracking!L110/4-F$48))))</f>
        <v/>
      </c>
      <c r="G146" s="48" t="str">
        <f>IF(Tracking!M110="","",IF(Person!$C$20="m",ABS((Tracking!M110/4-G$45)),ABS((Tracking!M110/4-G$48))))</f>
        <v/>
      </c>
      <c r="H146" s="48" t="str">
        <f>IF(Tracking!N110="","",IF(Person!$C$20="m",ABS((Tracking!N110/4-H$45)),ABS((Tracking!N110/4-H$48))))</f>
        <v/>
      </c>
      <c r="I146" s="48" t="str">
        <f>IF(Tracking!O110="","",IF(Person!$C$20="m",ABS((Tracking!O110/4-I$45)),ABS((Tracking!O110/4-I$48))))</f>
        <v/>
      </c>
      <c r="J146" s="48" t="str">
        <f>IF(Tracking!P110="","",IF(Person!$C$20="m",ABS((Tracking!P110/4-J$45)),ABS((Tracking!P110/4-J$48))))</f>
        <v/>
      </c>
      <c r="K146" s="48" t="str">
        <f>IF(Tracking!Q110="","",IF(Person!$C$20="m",ABS((Tracking!Q110/4-K$45)),ABS((Tracking!Q110/4-K$48))))</f>
        <v/>
      </c>
      <c r="L146" s="48" t="str">
        <f>IF(Tracking!R110="","",IF(Person!$C$20="m",ABS((Tracking!R110/4-L$45)),ABS((Tracking!R110/4-L$48))))</f>
        <v/>
      </c>
      <c r="M146" s="48" t="str">
        <f>IF(Tracking!S110="","",IF(Person!$C$20="m",ABS((Tracking!S110/4-M$45)),ABS((Tracking!S110/4-M$48))))</f>
        <v/>
      </c>
      <c r="N146" s="48" t="str">
        <f>IF(Tracking!T110="","",IF(Person!$C$20="m",ABS((Tracking!T110/4-N$45)),ABS((Tracking!T110/4-N$48))))</f>
        <v/>
      </c>
      <c r="O146" s="48" t="str">
        <f>IF(Tracking!U110="","",IF(Person!$C$20="m",ABS((Tracking!U110/4-O$45)),ABS((Tracking!U110/4-O$48))))</f>
        <v/>
      </c>
      <c r="P146" s="48" t="str">
        <f>IF(Tracking!V110="","",IF(Person!$C$20="m",ABS((Tracking!V110/4-P$45)),ABS((Tracking!V110/4-P$48))))</f>
        <v/>
      </c>
      <c r="Q146" s="43"/>
      <c r="R146" s="48" t="str">
        <f t="shared" ref="R146:AD146" si="98">IF(ISERROR(LARGE($D146:$P146,R$44)),"",LARGE($D146:$P146,R$44))</f>
        <v/>
      </c>
      <c r="S146" s="48" t="str">
        <f t="shared" si="98"/>
        <v/>
      </c>
      <c r="T146" s="48" t="str">
        <f t="shared" si="98"/>
        <v/>
      </c>
      <c r="U146" s="48" t="str">
        <f t="shared" si="98"/>
        <v/>
      </c>
      <c r="V146" s="48" t="str">
        <f t="shared" si="98"/>
        <v/>
      </c>
      <c r="W146" s="48" t="str">
        <f t="shared" si="98"/>
        <v/>
      </c>
      <c r="X146" s="48" t="str">
        <f t="shared" si="98"/>
        <v/>
      </c>
      <c r="Y146" s="48" t="str">
        <f t="shared" si="98"/>
        <v/>
      </c>
      <c r="Z146" s="48" t="str">
        <f t="shared" si="98"/>
        <v/>
      </c>
      <c r="AA146" s="48" t="str">
        <f t="shared" si="98"/>
        <v/>
      </c>
      <c r="AB146" s="48" t="str">
        <f t="shared" si="98"/>
        <v/>
      </c>
      <c r="AC146" s="48" t="str">
        <f t="shared" si="98"/>
        <v/>
      </c>
      <c r="AD146" s="48" t="str">
        <f t="shared" si="98"/>
        <v/>
      </c>
    </row>
    <row r="147" spans="1:30" ht="13.5" customHeight="1">
      <c r="A147" s="26"/>
      <c r="B147" s="26"/>
      <c r="C147" s="26"/>
      <c r="D147" s="49" t="str">
        <f t="shared" ref="D147:P147" si="99">IF(D146="","",IF(D146=$R146,1,IF(D146=$S146,2,IF(D146=$T146,3,IF(D146=$U146,4,IF(D146=$V146,5,IF(D146=$W146,6,IF(D146=$X146,7,IF(D146=$Y146,8,IF(D146=$Z146,9,IF(D146=$AA146,10,IF(D146=$AB146,11,IF(D146=$AC146,12,IF(D146=$AD146,13))))))))))))))</f>
        <v/>
      </c>
      <c r="E147" s="49" t="str">
        <f t="shared" si="99"/>
        <v/>
      </c>
      <c r="F147" s="49" t="str">
        <f t="shared" si="99"/>
        <v/>
      </c>
      <c r="G147" s="49" t="str">
        <f t="shared" si="99"/>
        <v/>
      </c>
      <c r="H147" s="49" t="str">
        <f t="shared" si="99"/>
        <v/>
      </c>
      <c r="I147" s="49" t="str">
        <f t="shared" si="99"/>
        <v/>
      </c>
      <c r="J147" s="49" t="str">
        <f t="shared" si="99"/>
        <v/>
      </c>
      <c r="K147" s="49" t="str">
        <f t="shared" si="99"/>
        <v/>
      </c>
      <c r="L147" s="49" t="str">
        <f t="shared" si="99"/>
        <v/>
      </c>
      <c r="M147" s="49" t="str">
        <f t="shared" si="99"/>
        <v/>
      </c>
      <c r="N147" s="49" t="str">
        <f t="shared" si="99"/>
        <v/>
      </c>
      <c r="O147" s="49" t="str">
        <f t="shared" si="99"/>
        <v/>
      </c>
      <c r="P147" s="49" t="str">
        <f t="shared" si="99"/>
        <v/>
      </c>
      <c r="Q147" s="43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</row>
    <row r="148" spans="1:30" ht="13.5" customHeight="1">
      <c r="A148" s="26"/>
      <c r="B148" s="26"/>
      <c r="C148" s="26"/>
      <c r="D148" s="48" t="str">
        <f>IF(Tracking!J112="","",IF(Person!$C$20="m",ABS((Tracking!J112/4-D$45)),ABS((Tracking!J112/4-D$48))))</f>
        <v/>
      </c>
      <c r="E148" s="48" t="str">
        <f>IF(Tracking!K112="","",IF(Person!$C$20="m",ABS((Tracking!K112/4-E$45)),ABS((Tracking!K112/4-E$48))))</f>
        <v/>
      </c>
      <c r="F148" s="48" t="str">
        <f>IF(Tracking!L112="","",IF(Person!$C$20="m",ABS((Tracking!L112/4-F$45)),ABS((Tracking!L112/4-F$48))))</f>
        <v/>
      </c>
      <c r="G148" s="48" t="str">
        <f>IF(Tracking!M112="","",IF(Person!$C$20="m",ABS((Tracking!M112/4-G$45)),ABS((Tracking!M112/4-G$48))))</f>
        <v/>
      </c>
      <c r="H148" s="48" t="str">
        <f>IF(Tracking!N112="","",IF(Person!$C$20="m",ABS((Tracking!N112/4-H$45)),ABS((Tracking!N112/4-H$48))))</f>
        <v/>
      </c>
      <c r="I148" s="48" t="str">
        <f>IF(Tracking!O112="","",IF(Person!$C$20="m",ABS((Tracking!O112/4-I$45)),ABS((Tracking!O112/4-I$48))))</f>
        <v/>
      </c>
      <c r="J148" s="48" t="str">
        <f>IF(Tracking!P112="","",IF(Person!$C$20="m",ABS((Tracking!P112/4-J$45)),ABS((Tracking!P112/4-J$48))))</f>
        <v/>
      </c>
      <c r="K148" s="48" t="str">
        <f>IF(Tracking!Q112="","",IF(Person!$C$20="m",ABS((Tracking!Q112/4-K$45)),ABS((Tracking!Q112/4-K$48))))</f>
        <v/>
      </c>
      <c r="L148" s="48" t="str">
        <f>IF(Tracking!R112="","",IF(Person!$C$20="m",ABS((Tracking!R112/4-L$45)),ABS((Tracking!R112/4-L$48))))</f>
        <v/>
      </c>
      <c r="M148" s="48" t="str">
        <f>IF(Tracking!S112="","",IF(Person!$C$20="m",ABS((Tracking!S112/4-M$45)),ABS((Tracking!S112/4-M$48))))</f>
        <v/>
      </c>
      <c r="N148" s="48" t="str">
        <f>IF(Tracking!T112="","",IF(Person!$C$20="m",ABS((Tracking!T112/4-N$45)),ABS((Tracking!T112/4-N$48))))</f>
        <v/>
      </c>
      <c r="O148" s="48" t="str">
        <f>IF(Tracking!U112="","",IF(Person!$C$20="m",ABS((Tracking!U112/4-O$45)),ABS((Tracking!U112/4-O$48))))</f>
        <v/>
      </c>
      <c r="P148" s="48" t="str">
        <f>IF(Tracking!V112="","",IF(Person!$C$20="m",ABS((Tracking!V112/4-P$45)),ABS((Tracking!V112/4-P$48))))</f>
        <v/>
      </c>
      <c r="Q148" s="43"/>
      <c r="R148" s="48" t="str">
        <f t="shared" ref="R148:AD148" si="100">IF(ISERROR(LARGE($D148:$P148,R$44)),"",LARGE($D148:$P148,R$44))</f>
        <v/>
      </c>
      <c r="S148" s="48" t="str">
        <f t="shared" si="100"/>
        <v/>
      </c>
      <c r="T148" s="48" t="str">
        <f t="shared" si="100"/>
        <v/>
      </c>
      <c r="U148" s="48" t="str">
        <f t="shared" si="100"/>
        <v/>
      </c>
      <c r="V148" s="48" t="str">
        <f t="shared" si="100"/>
        <v/>
      </c>
      <c r="W148" s="48" t="str">
        <f t="shared" si="100"/>
        <v/>
      </c>
      <c r="X148" s="48" t="str">
        <f t="shared" si="100"/>
        <v/>
      </c>
      <c r="Y148" s="48" t="str">
        <f t="shared" si="100"/>
        <v/>
      </c>
      <c r="Z148" s="48" t="str">
        <f t="shared" si="100"/>
        <v/>
      </c>
      <c r="AA148" s="48" t="str">
        <f t="shared" si="100"/>
        <v/>
      </c>
      <c r="AB148" s="48" t="str">
        <f t="shared" si="100"/>
        <v/>
      </c>
      <c r="AC148" s="48" t="str">
        <f t="shared" si="100"/>
        <v/>
      </c>
      <c r="AD148" s="48" t="str">
        <f t="shared" si="100"/>
        <v/>
      </c>
    </row>
    <row r="149" spans="1:30" ht="13.5" customHeight="1">
      <c r="A149" s="26"/>
      <c r="B149" s="26"/>
      <c r="C149" s="26"/>
      <c r="D149" s="49" t="str">
        <f t="shared" ref="D149:P149" si="101">IF(D148="","",IF(D148=$R148,1,IF(D148=$S148,2,IF(D148=$T148,3,IF(D148=$U148,4,IF(D148=$V148,5,IF(D148=$W148,6,IF(D148=$X148,7,IF(D148=$Y148,8,IF(D148=$Z148,9,IF(D148=$AA148,10,IF(D148=$AB148,11,IF(D148=$AC148,12,IF(D148=$AD148,13))))))))))))))</f>
        <v/>
      </c>
      <c r="E149" s="49" t="str">
        <f t="shared" si="101"/>
        <v/>
      </c>
      <c r="F149" s="49" t="str">
        <f t="shared" si="101"/>
        <v/>
      </c>
      <c r="G149" s="49" t="str">
        <f t="shared" si="101"/>
        <v/>
      </c>
      <c r="H149" s="49" t="str">
        <f t="shared" si="101"/>
        <v/>
      </c>
      <c r="I149" s="49" t="str">
        <f t="shared" si="101"/>
        <v/>
      </c>
      <c r="J149" s="49" t="str">
        <f t="shared" si="101"/>
        <v/>
      </c>
      <c r="K149" s="49" t="str">
        <f t="shared" si="101"/>
        <v/>
      </c>
      <c r="L149" s="49" t="str">
        <f t="shared" si="101"/>
        <v/>
      </c>
      <c r="M149" s="49" t="str">
        <f t="shared" si="101"/>
        <v/>
      </c>
      <c r="N149" s="49" t="str">
        <f t="shared" si="101"/>
        <v/>
      </c>
      <c r="O149" s="49" t="str">
        <f t="shared" si="101"/>
        <v/>
      </c>
      <c r="P149" s="49" t="str">
        <f t="shared" si="101"/>
        <v/>
      </c>
      <c r="Q149" s="43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</row>
    <row r="150" spans="1:30" ht="13.5" customHeight="1">
      <c r="A150" s="26"/>
      <c r="B150" s="26"/>
      <c r="C150" s="26"/>
      <c r="D150" s="48" t="str">
        <f>IF(Tracking!J114="","",IF(Person!$C$20="m",ABS((Tracking!J114/4-D$45)),ABS((Tracking!J114/4-D$48))))</f>
        <v/>
      </c>
      <c r="E150" s="48" t="str">
        <f>IF(Tracking!K114="","",IF(Person!$C$20="m",ABS((Tracking!K114/4-E$45)),ABS((Tracking!K114/4-E$48))))</f>
        <v/>
      </c>
      <c r="F150" s="48" t="str">
        <f>IF(Tracking!L114="","",IF(Person!$C$20="m",ABS((Tracking!L114/4-F$45)),ABS((Tracking!L114/4-F$48))))</f>
        <v/>
      </c>
      <c r="G150" s="48" t="str">
        <f>IF(Tracking!M114="","",IF(Person!$C$20="m",ABS((Tracking!M114/4-G$45)),ABS((Tracking!M114/4-G$48))))</f>
        <v/>
      </c>
      <c r="H150" s="48" t="str">
        <f>IF(Tracking!N114="","",IF(Person!$C$20="m",ABS((Tracking!N114/4-H$45)),ABS((Tracking!N114/4-H$48))))</f>
        <v/>
      </c>
      <c r="I150" s="48" t="str">
        <f>IF(Tracking!O114="","",IF(Person!$C$20="m",ABS((Tracking!O114/4-I$45)),ABS((Tracking!O114/4-I$48))))</f>
        <v/>
      </c>
      <c r="J150" s="48" t="str">
        <f>IF(Tracking!P114="","",IF(Person!$C$20="m",ABS((Tracking!P114/4-J$45)),ABS((Tracking!P114/4-J$48))))</f>
        <v/>
      </c>
      <c r="K150" s="48" t="str">
        <f>IF(Tracking!Q114="","",IF(Person!$C$20="m",ABS((Tracking!Q114/4-K$45)),ABS((Tracking!Q114/4-K$48))))</f>
        <v/>
      </c>
      <c r="L150" s="48" t="str">
        <f>IF(Tracking!R114="","",IF(Person!$C$20="m",ABS((Tracking!R114/4-L$45)),ABS((Tracking!R114/4-L$48))))</f>
        <v/>
      </c>
      <c r="M150" s="48" t="str">
        <f>IF(Tracking!S114="","",IF(Person!$C$20="m",ABS((Tracking!S114/4-M$45)),ABS((Tracking!S114/4-M$48))))</f>
        <v/>
      </c>
      <c r="N150" s="48" t="str">
        <f>IF(Tracking!T114="","",IF(Person!$C$20="m",ABS((Tracking!T114/4-N$45)),ABS((Tracking!T114/4-N$48))))</f>
        <v/>
      </c>
      <c r="O150" s="48" t="str">
        <f>IF(Tracking!U114="","",IF(Person!$C$20="m",ABS((Tracking!U114/4-O$45)),ABS((Tracking!U114/4-O$48))))</f>
        <v/>
      </c>
      <c r="P150" s="48" t="str">
        <f>IF(Tracking!V114="","",IF(Person!$C$20="m",ABS((Tracking!V114/4-P$45)),ABS((Tracking!V114/4-P$48))))</f>
        <v/>
      </c>
      <c r="Q150" s="43"/>
      <c r="R150" s="48" t="str">
        <f t="shared" ref="R150:AD150" si="102">IF(ISERROR(LARGE($D150:$P150,R$44)),"",LARGE($D150:$P150,R$44))</f>
        <v/>
      </c>
      <c r="S150" s="48" t="str">
        <f t="shared" si="102"/>
        <v/>
      </c>
      <c r="T150" s="48" t="str">
        <f t="shared" si="102"/>
        <v/>
      </c>
      <c r="U150" s="48" t="str">
        <f t="shared" si="102"/>
        <v/>
      </c>
      <c r="V150" s="48" t="str">
        <f t="shared" si="102"/>
        <v/>
      </c>
      <c r="W150" s="48" t="str">
        <f t="shared" si="102"/>
        <v/>
      </c>
      <c r="X150" s="48" t="str">
        <f t="shared" si="102"/>
        <v/>
      </c>
      <c r="Y150" s="48" t="str">
        <f t="shared" si="102"/>
        <v/>
      </c>
      <c r="Z150" s="48" t="str">
        <f t="shared" si="102"/>
        <v/>
      </c>
      <c r="AA150" s="48" t="str">
        <f t="shared" si="102"/>
        <v/>
      </c>
      <c r="AB150" s="48" t="str">
        <f t="shared" si="102"/>
        <v/>
      </c>
      <c r="AC150" s="48" t="str">
        <f t="shared" si="102"/>
        <v/>
      </c>
      <c r="AD150" s="48" t="str">
        <f t="shared" si="102"/>
        <v/>
      </c>
    </row>
    <row r="151" spans="1:30" ht="13.5" customHeight="1">
      <c r="A151" s="26"/>
      <c r="B151" s="26"/>
      <c r="C151" s="26"/>
      <c r="D151" s="49" t="str">
        <f t="shared" ref="D151:P151" si="103">IF(D150="","",IF(D150=$R150,1,IF(D150=$S150,2,IF(D150=$T150,3,IF(D150=$U150,4,IF(D150=$V150,5,IF(D150=$W150,6,IF(D150=$X150,7,IF(D150=$Y150,8,IF(D150=$Z150,9,IF(D150=$AA150,10,IF(D150=$AB150,11,IF(D150=$AC150,12,IF(D150=$AD150,13))))))))))))))</f>
        <v/>
      </c>
      <c r="E151" s="49" t="str">
        <f t="shared" si="103"/>
        <v/>
      </c>
      <c r="F151" s="49" t="str">
        <f t="shared" si="103"/>
        <v/>
      </c>
      <c r="G151" s="49" t="str">
        <f t="shared" si="103"/>
        <v/>
      </c>
      <c r="H151" s="49" t="str">
        <f t="shared" si="103"/>
        <v/>
      </c>
      <c r="I151" s="49" t="str">
        <f t="shared" si="103"/>
        <v/>
      </c>
      <c r="J151" s="49" t="str">
        <f t="shared" si="103"/>
        <v/>
      </c>
      <c r="K151" s="49" t="str">
        <f t="shared" si="103"/>
        <v/>
      </c>
      <c r="L151" s="49" t="str">
        <f t="shared" si="103"/>
        <v/>
      </c>
      <c r="M151" s="49" t="str">
        <f t="shared" si="103"/>
        <v/>
      </c>
      <c r="N151" s="49" t="str">
        <f t="shared" si="103"/>
        <v/>
      </c>
      <c r="O151" s="49" t="str">
        <f t="shared" si="103"/>
        <v/>
      </c>
      <c r="P151" s="49" t="str">
        <f t="shared" si="103"/>
        <v/>
      </c>
      <c r="Q151" s="43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</row>
    <row r="152" spans="1:30" ht="13.5" customHeight="1">
      <c r="A152" s="26"/>
      <c r="B152" s="26"/>
      <c r="C152" s="26"/>
      <c r="D152" s="48" t="str">
        <f>IF(Tracking!J116="","",IF(Person!$C$20="m",ABS((Tracking!J116/4-D$45)),ABS((Tracking!J116/4-D$48))))</f>
        <v/>
      </c>
      <c r="E152" s="48" t="str">
        <f>IF(Tracking!K116="","",IF(Person!$C$20="m",ABS((Tracking!K116/4-E$45)),ABS((Tracking!K116/4-E$48))))</f>
        <v/>
      </c>
      <c r="F152" s="48" t="str">
        <f>IF(Tracking!L116="","",IF(Person!$C$20="m",ABS((Tracking!L116/4-F$45)),ABS((Tracking!L116/4-F$48))))</f>
        <v/>
      </c>
      <c r="G152" s="48" t="str">
        <f>IF(Tracking!M116="","",IF(Person!$C$20="m",ABS((Tracking!M116/4-G$45)),ABS((Tracking!M116/4-G$48))))</f>
        <v/>
      </c>
      <c r="H152" s="48" t="str">
        <f>IF(Tracking!N116="","",IF(Person!$C$20="m",ABS((Tracking!N116/4-H$45)),ABS((Tracking!N116/4-H$48))))</f>
        <v/>
      </c>
      <c r="I152" s="48" t="str">
        <f>IF(Tracking!O116="","",IF(Person!$C$20="m",ABS((Tracking!O116/4-I$45)),ABS((Tracking!O116/4-I$48))))</f>
        <v/>
      </c>
      <c r="J152" s="48" t="str">
        <f>IF(Tracking!P116="","",IF(Person!$C$20="m",ABS((Tracking!P116/4-J$45)),ABS((Tracking!P116/4-J$48))))</f>
        <v/>
      </c>
      <c r="K152" s="48" t="str">
        <f>IF(Tracking!Q116="","",IF(Person!$C$20="m",ABS((Tracking!Q116/4-K$45)),ABS((Tracking!Q116/4-K$48))))</f>
        <v/>
      </c>
      <c r="L152" s="48" t="str">
        <f>IF(Tracking!R116="","",IF(Person!$C$20="m",ABS((Tracking!R116/4-L$45)),ABS((Tracking!R116/4-L$48))))</f>
        <v/>
      </c>
      <c r="M152" s="48" t="str">
        <f>IF(Tracking!S116="","",IF(Person!$C$20="m",ABS((Tracking!S116/4-M$45)),ABS((Tracking!S116/4-M$48))))</f>
        <v/>
      </c>
      <c r="N152" s="48" t="str">
        <f>IF(Tracking!T116="","",IF(Person!$C$20="m",ABS((Tracking!T116/4-N$45)),ABS((Tracking!T116/4-N$48))))</f>
        <v/>
      </c>
      <c r="O152" s="48" t="str">
        <f>IF(Tracking!U116="","",IF(Person!$C$20="m",ABS((Tracking!U116/4-O$45)),ABS((Tracking!U116/4-O$48))))</f>
        <v/>
      </c>
      <c r="P152" s="48" t="str">
        <f>IF(Tracking!V116="","",IF(Person!$C$20="m",ABS((Tracking!V116/4-P$45)),ABS((Tracking!V116/4-P$48))))</f>
        <v/>
      </c>
      <c r="Q152" s="43"/>
      <c r="R152" s="48" t="str">
        <f t="shared" ref="R152:AD152" si="104">IF(ISERROR(LARGE($D152:$P152,R$44)),"",LARGE($D152:$P152,R$44))</f>
        <v/>
      </c>
      <c r="S152" s="48" t="str">
        <f t="shared" si="104"/>
        <v/>
      </c>
      <c r="T152" s="48" t="str">
        <f t="shared" si="104"/>
        <v/>
      </c>
      <c r="U152" s="48" t="str">
        <f t="shared" si="104"/>
        <v/>
      </c>
      <c r="V152" s="48" t="str">
        <f t="shared" si="104"/>
        <v/>
      </c>
      <c r="W152" s="48" t="str">
        <f t="shared" si="104"/>
        <v/>
      </c>
      <c r="X152" s="48" t="str">
        <f t="shared" si="104"/>
        <v/>
      </c>
      <c r="Y152" s="48" t="str">
        <f t="shared" si="104"/>
        <v/>
      </c>
      <c r="Z152" s="48" t="str">
        <f t="shared" si="104"/>
        <v/>
      </c>
      <c r="AA152" s="48" t="str">
        <f t="shared" si="104"/>
        <v/>
      </c>
      <c r="AB152" s="48" t="str">
        <f t="shared" si="104"/>
        <v/>
      </c>
      <c r="AC152" s="48" t="str">
        <f t="shared" si="104"/>
        <v/>
      </c>
      <c r="AD152" s="48" t="str">
        <f t="shared" si="104"/>
        <v/>
      </c>
    </row>
    <row r="153" spans="1:30" ht="13.5" customHeight="1">
      <c r="A153" s="26"/>
      <c r="B153" s="26"/>
      <c r="C153" s="26"/>
      <c r="D153" s="49" t="str">
        <f t="shared" ref="D153:P153" si="105">IF(D152="","",IF(D152=$R152,1,IF(D152=$S152,2,IF(D152=$T152,3,IF(D152=$U152,4,IF(D152=$V152,5,IF(D152=$W152,6,IF(D152=$X152,7,IF(D152=$Y152,8,IF(D152=$Z152,9,IF(D152=$AA152,10,IF(D152=$AB152,11,IF(D152=$AC152,12,IF(D152=$AD152,13))))))))))))))</f>
        <v/>
      </c>
      <c r="E153" s="49" t="str">
        <f t="shared" si="105"/>
        <v/>
      </c>
      <c r="F153" s="49" t="str">
        <f t="shared" si="105"/>
        <v/>
      </c>
      <c r="G153" s="49" t="str">
        <f t="shared" si="105"/>
        <v/>
      </c>
      <c r="H153" s="49" t="str">
        <f t="shared" si="105"/>
        <v/>
      </c>
      <c r="I153" s="49" t="str">
        <f t="shared" si="105"/>
        <v/>
      </c>
      <c r="J153" s="49" t="str">
        <f t="shared" si="105"/>
        <v/>
      </c>
      <c r="K153" s="49" t="str">
        <f t="shared" si="105"/>
        <v/>
      </c>
      <c r="L153" s="49" t="str">
        <f t="shared" si="105"/>
        <v/>
      </c>
      <c r="M153" s="49" t="str">
        <f t="shared" si="105"/>
        <v/>
      </c>
      <c r="N153" s="49" t="str">
        <f t="shared" si="105"/>
        <v/>
      </c>
      <c r="O153" s="49" t="str">
        <f t="shared" si="105"/>
        <v/>
      </c>
      <c r="P153" s="49" t="str">
        <f t="shared" si="105"/>
        <v/>
      </c>
      <c r="Q153" s="43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</row>
    <row r="154" spans="1:30" ht="13.5" customHeight="1">
      <c r="A154" s="26"/>
      <c r="B154" s="26"/>
      <c r="C154" s="26"/>
      <c r="D154" s="48" t="str">
        <f>IF(Tracking!J118="","",IF(Person!$C$20="m",ABS((Tracking!J118/4-D$45)),ABS((Tracking!J118/4-D$48))))</f>
        <v/>
      </c>
      <c r="E154" s="48" t="str">
        <f>IF(Tracking!K118="","",IF(Person!$C$20="m",ABS((Tracking!K118/4-E$45)),ABS((Tracking!K118/4-E$48))))</f>
        <v/>
      </c>
      <c r="F154" s="48" t="str">
        <f>IF(Tracking!L118="","",IF(Person!$C$20="m",ABS((Tracking!L118/4-F$45)),ABS((Tracking!L118/4-F$48))))</f>
        <v/>
      </c>
      <c r="G154" s="48" t="str">
        <f>IF(Tracking!M118="","",IF(Person!$C$20="m",ABS((Tracking!M118/4-G$45)),ABS((Tracking!M118/4-G$48))))</f>
        <v/>
      </c>
      <c r="H154" s="48" t="str">
        <f>IF(Tracking!N118="","",IF(Person!$C$20="m",ABS((Tracking!N118/4-H$45)),ABS((Tracking!N118/4-H$48))))</f>
        <v/>
      </c>
      <c r="I154" s="48" t="str">
        <f>IF(Tracking!O118="","",IF(Person!$C$20="m",ABS((Tracking!O118/4-I$45)),ABS((Tracking!O118/4-I$48))))</f>
        <v/>
      </c>
      <c r="J154" s="48" t="str">
        <f>IF(Tracking!P118="","",IF(Person!$C$20="m",ABS((Tracking!P118/4-J$45)),ABS((Tracking!P118/4-J$48))))</f>
        <v/>
      </c>
      <c r="K154" s="48" t="str">
        <f>IF(Tracking!Q118="","",IF(Person!$C$20="m",ABS((Tracking!Q118/4-K$45)),ABS((Tracking!Q118/4-K$48))))</f>
        <v/>
      </c>
      <c r="L154" s="48" t="str">
        <f>IF(Tracking!R118="","",IF(Person!$C$20="m",ABS((Tracking!R118/4-L$45)),ABS((Tracking!R118/4-L$48))))</f>
        <v/>
      </c>
      <c r="M154" s="48" t="str">
        <f>IF(Tracking!S118="","",IF(Person!$C$20="m",ABS((Tracking!S118/4-M$45)),ABS((Tracking!S118/4-M$48))))</f>
        <v/>
      </c>
      <c r="N154" s="48" t="str">
        <f>IF(Tracking!T118="","",IF(Person!$C$20="m",ABS((Tracking!T118/4-N$45)),ABS((Tracking!T118/4-N$48))))</f>
        <v/>
      </c>
      <c r="O154" s="48" t="str">
        <f>IF(Tracking!U118="","",IF(Person!$C$20="m",ABS((Tracking!U118/4-O$45)),ABS((Tracking!U118/4-O$48))))</f>
        <v/>
      </c>
      <c r="P154" s="48" t="str">
        <f>IF(Tracking!V118="","",IF(Person!$C$20="m",ABS((Tracking!V118/4-P$45)),ABS((Tracking!V118/4-P$48))))</f>
        <v/>
      </c>
      <c r="Q154" s="43"/>
      <c r="R154" s="48" t="str">
        <f t="shared" ref="R154:AD154" si="106">IF(ISERROR(LARGE($D154:$P154,R$44)),"",LARGE($D154:$P154,R$44))</f>
        <v/>
      </c>
      <c r="S154" s="48" t="str">
        <f t="shared" si="106"/>
        <v/>
      </c>
      <c r="T154" s="48" t="str">
        <f t="shared" si="106"/>
        <v/>
      </c>
      <c r="U154" s="48" t="str">
        <f t="shared" si="106"/>
        <v/>
      </c>
      <c r="V154" s="48" t="str">
        <f t="shared" si="106"/>
        <v/>
      </c>
      <c r="W154" s="48" t="str">
        <f t="shared" si="106"/>
        <v/>
      </c>
      <c r="X154" s="48" t="str">
        <f t="shared" si="106"/>
        <v/>
      </c>
      <c r="Y154" s="48" t="str">
        <f t="shared" si="106"/>
        <v/>
      </c>
      <c r="Z154" s="48" t="str">
        <f t="shared" si="106"/>
        <v/>
      </c>
      <c r="AA154" s="48" t="str">
        <f t="shared" si="106"/>
        <v/>
      </c>
      <c r="AB154" s="48" t="str">
        <f t="shared" si="106"/>
        <v/>
      </c>
      <c r="AC154" s="48" t="str">
        <f t="shared" si="106"/>
        <v/>
      </c>
      <c r="AD154" s="48" t="str">
        <f t="shared" si="106"/>
        <v/>
      </c>
    </row>
    <row r="155" spans="1:30" ht="13.5" customHeight="1">
      <c r="A155" s="26"/>
      <c r="B155" s="26"/>
      <c r="C155" s="26"/>
      <c r="D155" s="49" t="str">
        <f t="shared" ref="D155:P155" si="107">IF(D154="","",IF(D154=$R154,1,IF(D154=$S154,2,IF(D154=$T154,3,IF(D154=$U154,4,IF(D154=$V154,5,IF(D154=$W154,6,IF(D154=$X154,7,IF(D154=$Y154,8,IF(D154=$Z154,9,IF(D154=$AA154,10,IF(D154=$AB154,11,IF(D154=$AC154,12,IF(D154=$AD154,13))))))))))))))</f>
        <v/>
      </c>
      <c r="E155" s="49" t="str">
        <f t="shared" si="107"/>
        <v/>
      </c>
      <c r="F155" s="49" t="str">
        <f t="shared" si="107"/>
        <v/>
      </c>
      <c r="G155" s="49" t="str">
        <f t="shared" si="107"/>
        <v/>
      </c>
      <c r="H155" s="49" t="str">
        <f t="shared" si="107"/>
        <v/>
      </c>
      <c r="I155" s="49" t="str">
        <f t="shared" si="107"/>
        <v/>
      </c>
      <c r="J155" s="49" t="str">
        <f t="shared" si="107"/>
        <v/>
      </c>
      <c r="K155" s="49" t="str">
        <f t="shared" si="107"/>
        <v/>
      </c>
      <c r="L155" s="49" t="str">
        <f t="shared" si="107"/>
        <v/>
      </c>
      <c r="M155" s="49" t="str">
        <f t="shared" si="107"/>
        <v/>
      </c>
      <c r="N155" s="49" t="str">
        <f t="shared" si="107"/>
        <v/>
      </c>
      <c r="O155" s="49" t="str">
        <f t="shared" si="107"/>
        <v/>
      </c>
      <c r="P155" s="49" t="str">
        <f t="shared" si="107"/>
        <v/>
      </c>
      <c r="Q155" s="43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</row>
    <row r="156" spans="1:30" ht="13.5" customHeight="1">
      <c r="A156" s="26"/>
      <c r="B156" s="26"/>
      <c r="C156" s="26"/>
      <c r="D156" s="48" t="str">
        <f>IF(Tracking!J120="","",IF(Person!$C$20="m",ABS((Tracking!J120/4-D$45)),ABS((Tracking!J120/4-D$48))))</f>
        <v/>
      </c>
      <c r="E156" s="48" t="str">
        <f>IF(Tracking!K120="","",IF(Person!$C$20="m",ABS((Tracking!K120/4-E$45)),ABS((Tracking!K120/4-E$48))))</f>
        <v/>
      </c>
      <c r="F156" s="48" t="str">
        <f>IF(Tracking!L120="","",IF(Person!$C$20="m",ABS((Tracking!L120/4-F$45)),ABS((Tracking!L120/4-F$48))))</f>
        <v/>
      </c>
      <c r="G156" s="48" t="str">
        <f>IF(Tracking!M120="","",IF(Person!$C$20="m",ABS((Tracking!M120/4-G$45)),ABS((Tracking!M120/4-G$48))))</f>
        <v/>
      </c>
      <c r="H156" s="48" t="str">
        <f>IF(Tracking!N120="","",IF(Person!$C$20="m",ABS((Tracking!N120/4-H$45)),ABS((Tracking!N120/4-H$48))))</f>
        <v/>
      </c>
      <c r="I156" s="48" t="str">
        <f>IF(Tracking!O120="","",IF(Person!$C$20="m",ABS((Tracking!O120/4-I$45)),ABS((Tracking!O120/4-I$48))))</f>
        <v/>
      </c>
      <c r="J156" s="48" t="str">
        <f>IF(Tracking!P120="","",IF(Person!$C$20="m",ABS((Tracking!P120/4-J$45)),ABS((Tracking!P120/4-J$48))))</f>
        <v/>
      </c>
      <c r="K156" s="48" t="str">
        <f>IF(Tracking!Q120="","",IF(Person!$C$20="m",ABS((Tracking!Q120/4-K$45)),ABS((Tracking!Q120/4-K$48))))</f>
        <v/>
      </c>
      <c r="L156" s="48" t="str">
        <f>IF(Tracking!R120="","",IF(Person!$C$20="m",ABS((Tracking!R120/4-L$45)),ABS((Tracking!R120/4-L$48))))</f>
        <v/>
      </c>
      <c r="M156" s="48" t="str">
        <f>IF(Tracking!S120="","",IF(Person!$C$20="m",ABS((Tracking!S120/4-M$45)),ABS((Tracking!S120/4-M$48))))</f>
        <v/>
      </c>
      <c r="N156" s="48" t="str">
        <f>IF(Tracking!T120="","",IF(Person!$C$20="m",ABS((Tracking!T120/4-N$45)),ABS((Tracking!T120/4-N$48))))</f>
        <v/>
      </c>
      <c r="O156" s="48" t="str">
        <f>IF(Tracking!U120="","",IF(Person!$C$20="m",ABS((Tracking!U120/4-O$45)),ABS((Tracking!U120/4-O$48))))</f>
        <v/>
      </c>
      <c r="P156" s="48" t="str">
        <f>IF(Tracking!V120="","",IF(Person!$C$20="m",ABS((Tracking!V120/4-P$45)),ABS((Tracking!V120/4-P$48))))</f>
        <v/>
      </c>
      <c r="Q156" s="43"/>
      <c r="R156" s="48" t="str">
        <f t="shared" ref="R156:AD156" si="108">IF(ISERROR(LARGE($D156:$P156,R$44)),"",LARGE($D156:$P156,R$44))</f>
        <v/>
      </c>
      <c r="S156" s="48" t="str">
        <f t="shared" si="108"/>
        <v/>
      </c>
      <c r="T156" s="48" t="str">
        <f t="shared" si="108"/>
        <v/>
      </c>
      <c r="U156" s="48" t="str">
        <f t="shared" si="108"/>
        <v/>
      </c>
      <c r="V156" s="48" t="str">
        <f t="shared" si="108"/>
        <v/>
      </c>
      <c r="W156" s="48" t="str">
        <f t="shared" si="108"/>
        <v/>
      </c>
      <c r="X156" s="48" t="str">
        <f t="shared" si="108"/>
        <v/>
      </c>
      <c r="Y156" s="48" t="str">
        <f t="shared" si="108"/>
        <v/>
      </c>
      <c r="Z156" s="48" t="str">
        <f t="shared" si="108"/>
        <v/>
      </c>
      <c r="AA156" s="48" t="str">
        <f t="shared" si="108"/>
        <v/>
      </c>
      <c r="AB156" s="48" t="str">
        <f t="shared" si="108"/>
        <v/>
      </c>
      <c r="AC156" s="48" t="str">
        <f t="shared" si="108"/>
        <v/>
      </c>
      <c r="AD156" s="48" t="str">
        <f t="shared" si="108"/>
        <v/>
      </c>
    </row>
    <row r="157" spans="1:30" ht="13.5" customHeight="1">
      <c r="A157" s="26"/>
      <c r="B157" s="26"/>
      <c r="C157" s="26"/>
      <c r="D157" s="49" t="str">
        <f t="shared" ref="D157:P157" si="109">IF(D156="","",IF(D156=$R156,1,IF(D156=$S156,2,IF(D156=$T156,3,IF(D156=$U156,4,IF(D156=$V156,5,IF(D156=$W156,6,IF(D156=$X156,7,IF(D156=$Y156,8,IF(D156=$Z156,9,IF(D156=$AA156,10,IF(D156=$AB156,11,IF(D156=$AC156,12,IF(D156=$AD156,13))))))))))))))</f>
        <v/>
      </c>
      <c r="E157" s="49" t="str">
        <f t="shared" si="109"/>
        <v/>
      </c>
      <c r="F157" s="49" t="str">
        <f t="shared" si="109"/>
        <v/>
      </c>
      <c r="G157" s="49" t="str">
        <f t="shared" si="109"/>
        <v/>
      </c>
      <c r="H157" s="49" t="str">
        <f t="shared" si="109"/>
        <v/>
      </c>
      <c r="I157" s="49" t="str">
        <f t="shared" si="109"/>
        <v/>
      </c>
      <c r="J157" s="49" t="str">
        <f t="shared" si="109"/>
        <v/>
      </c>
      <c r="K157" s="49" t="str">
        <f t="shared" si="109"/>
        <v/>
      </c>
      <c r="L157" s="49" t="str">
        <f t="shared" si="109"/>
        <v/>
      </c>
      <c r="M157" s="49" t="str">
        <f t="shared" si="109"/>
        <v/>
      </c>
      <c r="N157" s="49" t="str">
        <f t="shared" si="109"/>
        <v/>
      </c>
      <c r="O157" s="49" t="str">
        <f t="shared" si="109"/>
        <v/>
      </c>
      <c r="P157" s="49" t="str">
        <f t="shared" si="109"/>
        <v/>
      </c>
      <c r="Q157" s="43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</row>
    <row r="158" spans="1:30" ht="13.5" customHeight="1">
      <c r="A158" s="26"/>
      <c r="B158" s="26"/>
      <c r="C158" s="26"/>
      <c r="D158" s="48" t="str">
        <f>IF(Tracking!J122="","",IF(Person!$C$20="m",ABS((Tracking!J122/4-D$45)),ABS((Tracking!J122/4-D$48))))</f>
        <v/>
      </c>
      <c r="E158" s="48" t="str">
        <f>IF(Tracking!K122="","",IF(Person!$C$20="m",ABS((Tracking!K122/4-E$45)),ABS((Tracking!K122/4-E$48))))</f>
        <v/>
      </c>
      <c r="F158" s="48" t="str">
        <f>IF(Tracking!L122="","",IF(Person!$C$20="m",ABS((Tracking!L122/4-F$45)),ABS((Tracking!L122/4-F$48))))</f>
        <v/>
      </c>
      <c r="G158" s="48" t="str">
        <f>IF(Tracking!M122="","",IF(Person!$C$20="m",ABS((Tracking!M122/4-G$45)),ABS((Tracking!M122/4-G$48))))</f>
        <v/>
      </c>
      <c r="H158" s="48" t="str">
        <f>IF(Tracking!N122="","",IF(Person!$C$20="m",ABS((Tracking!N122/4-H$45)),ABS((Tracking!N122/4-H$48))))</f>
        <v/>
      </c>
      <c r="I158" s="48" t="str">
        <f>IF(Tracking!O122="","",IF(Person!$C$20="m",ABS((Tracking!O122/4-I$45)),ABS((Tracking!O122/4-I$48))))</f>
        <v/>
      </c>
      <c r="J158" s="48" t="str">
        <f>IF(Tracking!P122="","",IF(Person!$C$20="m",ABS((Tracking!P122/4-J$45)),ABS((Tracking!P122/4-J$48))))</f>
        <v/>
      </c>
      <c r="K158" s="48" t="str">
        <f>IF(Tracking!Q122="","",IF(Person!$C$20="m",ABS((Tracking!Q122/4-K$45)),ABS((Tracking!Q122/4-K$48))))</f>
        <v/>
      </c>
      <c r="L158" s="48" t="str">
        <f>IF(Tracking!R122="","",IF(Person!$C$20="m",ABS((Tracking!R122/4-L$45)),ABS((Tracking!R122/4-L$48))))</f>
        <v/>
      </c>
      <c r="M158" s="48" t="str">
        <f>IF(Tracking!S122="","",IF(Person!$C$20="m",ABS((Tracking!S122/4-M$45)),ABS((Tracking!S122/4-M$48))))</f>
        <v/>
      </c>
      <c r="N158" s="48" t="str">
        <f>IF(Tracking!T122="","",IF(Person!$C$20="m",ABS((Tracking!T122/4-N$45)),ABS((Tracking!T122/4-N$48))))</f>
        <v/>
      </c>
      <c r="O158" s="48" t="str">
        <f>IF(Tracking!U122="","",IF(Person!$C$20="m",ABS((Tracking!U122/4-O$45)),ABS((Tracking!U122/4-O$48))))</f>
        <v/>
      </c>
      <c r="P158" s="48" t="str">
        <f>IF(Tracking!V122="","",IF(Person!$C$20="m",ABS((Tracking!V122/4-P$45)),ABS((Tracking!V122/4-P$48))))</f>
        <v/>
      </c>
      <c r="Q158" s="43"/>
      <c r="R158" s="48" t="str">
        <f t="shared" ref="R158:AD158" si="110">IF(ISERROR(LARGE($D158:$P158,R$44)),"",LARGE($D158:$P158,R$44))</f>
        <v/>
      </c>
      <c r="S158" s="48" t="str">
        <f t="shared" si="110"/>
        <v/>
      </c>
      <c r="T158" s="48" t="str">
        <f t="shared" si="110"/>
        <v/>
      </c>
      <c r="U158" s="48" t="str">
        <f t="shared" si="110"/>
        <v/>
      </c>
      <c r="V158" s="48" t="str">
        <f t="shared" si="110"/>
        <v/>
      </c>
      <c r="W158" s="48" t="str">
        <f t="shared" si="110"/>
        <v/>
      </c>
      <c r="X158" s="48" t="str">
        <f t="shared" si="110"/>
        <v/>
      </c>
      <c r="Y158" s="48" t="str">
        <f t="shared" si="110"/>
        <v/>
      </c>
      <c r="Z158" s="48" t="str">
        <f t="shared" si="110"/>
        <v/>
      </c>
      <c r="AA158" s="48" t="str">
        <f t="shared" si="110"/>
        <v/>
      </c>
      <c r="AB158" s="48" t="str">
        <f t="shared" si="110"/>
        <v/>
      </c>
      <c r="AC158" s="48" t="str">
        <f t="shared" si="110"/>
        <v/>
      </c>
      <c r="AD158" s="48" t="str">
        <f t="shared" si="110"/>
        <v/>
      </c>
    </row>
    <row r="159" spans="1:30" ht="13.5" customHeight="1">
      <c r="A159" s="26"/>
      <c r="B159" s="26"/>
      <c r="C159" s="26"/>
      <c r="D159" s="49" t="str">
        <f t="shared" ref="D159:P159" si="111">IF(D158="","",IF(D158=$R158,1,IF(D158=$S158,2,IF(D158=$T158,3,IF(D158=$U158,4,IF(D158=$V158,5,IF(D158=$W158,6,IF(D158=$X158,7,IF(D158=$Y158,8,IF(D158=$Z158,9,IF(D158=$AA158,10,IF(D158=$AB158,11,IF(D158=$AC158,12,IF(D158=$AD158,13))))))))))))))</f>
        <v/>
      </c>
      <c r="E159" s="49" t="str">
        <f t="shared" si="111"/>
        <v/>
      </c>
      <c r="F159" s="49" t="str">
        <f t="shared" si="111"/>
        <v/>
      </c>
      <c r="G159" s="49" t="str">
        <f t="shared" si="111"/>
        <v/>
      </c>
      <c r="H159" s="49" t="str">
        <f t="shared" si="111"/>
        <v/>
      </c>
      <c r="I159" s="49" t="str">
        <f t="shared" si="111"/>
        <v/>
      </c>
      <c r="J159" s="49" t="str">
        <f t="shared" si="111"/>
        <v/>
      </c>
      <c r="K159" s="49" t="str">
        <f t="shared" si="111"/>
        <v/>
      </c>
      <c r="L159" s="49" t="str">
        <f t="shared" si="111"/>
        <v/>
      </c>
      <c r="M159" s="49" t="str">
        <f t="shared" si="111"/>
        <v/>
      </c>
      <c r="N159" s="49" t="str">
        <f t="shared" si="111"/>
        <v/>
      </c>
      <c r="O159" s="49" t="str">
        <f t="shared" si="111"/>
        <v/>
      </c>
      <c r="P159" s="49" t="str">
        <f t="shared" si="111"/>
        <v/>
      </c>
      <c r="Q159" s="43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</row>
    <row r="160" spans="1:30" ht="13.5" customHeight="1">
      <c r="A160" s="26"/>
      <c r="B160" s="26"/>
      <c r="C160" s="26"/>
      <c r="D160" s="48" t="str">
        <f>IF(Tracking!J124="","",IF(Person!$C$20="m",ABS((Tracking!J124/4-D$45)),ABS((Tracking!J124/4-D$48))))</f>
        <v/>
      </c>
      <c r="E160" s="48" t="str">
        <f>IF(Tracking!K124="","",IF(Person!$C$20="m",ABS((Tracking!K124/4-E$45)),ABS((Tracking!K124/4-E$48))))</f>
        <v/>
      </c>
      <c r="F160" s="48" t="str">
        <f>IF(Tracking!L124="","",IF(Person!$C$20="m",ABS((Tracking!L124/4-F$45)),ABS((Tracking!L124/4-F$48))))</f>
        <v/>
      </c>
      <c r="G160" s="48" t="str">
        <f>IF(Tracking!M124="","",IF(Person!$C$20="m",ABS((Tracking!M124/4-G$45)),ABS((Tracking!M124/4-G$48))))</f>
        <v/>
      </c>
      <c r="H160" s="48" t="str">
        <f>IF(Tracking!N124="","",IF(Person!$C$20="m",ABS((Tracking!N124/4-H$45)),ABS((Tracking!N124/4-H$48))))</f>
        <v/>
      </c>
      <c r="I160" s="48" t="str">
        <f>IF(Tracking!O124="","",IF(Person!$C$20="m",ABS((Tracking!O124/4-I$45)),ABS((Tracking!O124/4-I$48))))</f>
        <v/>
      </c>
      <c r="J160" s="48" t="str">
        <f>IF(Tracking!P124="","",IF(Person!$C$20="m",ABS((Tracking!P124/4-J$45)),ABS((Tracking!P124/4-J$48))))</f>
        <v/>
      </c>
      <c r="K160" s="48" t="str">
        <f>IF(Tracking!Q124="","",IF(Person!$C$20="m",ABS((Tracking!Q124/4-K$45)),ABS((Tracking!Q124/4-K$48))))</f>
        <v/>
      </c>
      <c r="L160" s="48" t="str">
        <f>IF(Tracking!R124="","",IF(Person!$C$20="m",ABS((Tracking!R124/4-L$45)),ABS((Tracking!R124/4-L$48))))</f>
        <v/>
      </c>
      <c r="M160" s="48" t="str">
        <f>IF(Tracking!S124="","",IF(Person!$C$20="m",ABS((Tracking!S124/4-M$45)),ABS((Tracking!S124/4-M$48))))</f>
        <v/>
      </c>
      <c r="N160" s="48" t="str">
        <f>IF(Tracking!T124="","",IF(Person!$C$20="m",ABS((Tracking!T124/4-N$45)),ABS((Tracking!T124/4-N$48))))</f>
        <v/>
      </c>
      <c r="O160" s="48" t="str">
        <f>IF(Tracking!U124="","",IF(Person!$C$20="m",ABS((Tracking!U124/4-O$45)),ABS((Tracking!U124/4-O$48))))</f>
        <v/>
      </c>
      <c r="P160" s="48" t="str">
        <f>IF(Tracking!V124="","",IF(Person!$C$20="m",ABS((Tracking!V124/4-P$45)),ABS((Tracking!V124/4-P$48))))</f>
        <v/>
      </c>
      <c r="Q160" s="43"/>
      <c r="R160" s="48" t="str">
        <f t="shared" ref="R160:AD160" si="112">IF(ISERROR(LARGE($D160:$P160,R$44)),"",LARGE($D160:$P160,R$44))</f>
        <v/>
      </c>
      <c r="S160" s="48" t="str">
        <f t="shared" si="112"/>
        <v/>
      </c>
      <c r="T160" s="48" t="str">
        <f t="shared" si="112"/>
        <v/>
      </c>
      <c r="U160" s="48" t="str">
        <f t="shared" si="112"/>
        <v/>
      </c>
      <c r="V160" s="48" t="str">
        <f t="shared" si="112"/>
        <v/>
      </c>
      <c r="W160" s="48" t="str">
        <f t="shared" si="112"/>
        <v/>
      </c>
      <c r="X160" s="48" t="str">
        <f t="shared" si="112"/>
        <v/>
      </c>
      <c r="Y160" s="48" t="str">
        <f t="shared" si="112"/>
        <v/>
      </c>
      <c r="Z160" s="48" t="str">
        <f t="shared" si="112"/>
        <v/>
      </c>
      <c r="AA160" s="48" t="str">
        <f t="shared" si="112"/>
        <v/>
      </c>
      <c r="AB160" s="48" t="str">
        <f t="shared" si="112"/>
        <v/>
      </c>
      <c r="AC160" s="48" t="str">
        <f t="shared" si="112"/>
        <v/>
      </c>
      <c r="AD160" s="48" t="str">
        <f t="shared" si="112"/>
        <v/>
      </c>
    </row>
    <row r="161" spans="1:30" ht="13.5" customHeight="1">
      <c r="A161" s="26"/>
      <c r="B161" s="26"/>
      <c r="C161" s="26"/>
      <c r="D161" s="49" t="str">
        <f t="shared" ref="D161:P161" si="113">IF(D160="","",IF(D160=$R160,1,IF(D160=$S160,2,IF(D160=$T160,3,IF(D160=$U160,4,IF(D160=$V160,5,IF(D160=$W160,6,IF(D160=$X160,7,IF(D160=$Y160,8,IF(D160=$Z160,9,IF(D160=$AA160,10,IF(D160=$AB160,11,IF(D160=$AC160,12,IF(D160=$AD160,13))))))))))))))</f>
        <v/>
      </c>
      <c r="E161" s="49" t="str">
        <f t="shared" si="113"/>
        <v/>
      </c>
      <c r="F161" s="49" t="str">
        <f t="shared" si="113"/>
        <v/>
      </c>
      <c r="G161" s="49" t="str">
        <f t="shared" si="113"/>
        <v/>
      </c>
      <c r="H161" s="49" t="str">
        <f t="shared" si="113"/>
        <v/>
      </c>
      <c r="I161" s="49" t="str">
        <f t="shared" si="113"/>
        <v/>
      </c>
      <c r="J161" s="49" t="str">
        <f t="shared" si="113"/>
        <v/>
      </c>
      <c r="K161" s="49" t="str">
        <f t="shared" si="113"/>
        <v/>
      </c>
      <c r="L161" s="49" t="str">
        <f t="shared" si="113"/>
        <v/>
      </c>
      <c r="M161" s="49" t="str">
        <f t="shared" si="113"/>
        <v/>
      </c>
      <c r="N161" s="49" t="str">
        <f t="shared" si="113"/>
        <v/>
      </c>
      <c r="O161" s="49" t="str">
        <f t="shared" si="113"/>
        <v/>
      </c>
      <c r="P161" s="49" t="str">
        <f t="shared" si="113"/>
        <v/>
      </c>
      <c r="Q161" s="43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</row>
    <row r="162" spans="1:30" ht="13.5" customHeight="1">
      <c r="A162" s="26"/>
      <c r="B162" s="26"/>
      <c r="C162" s="26"/>
      <c r="D162" s="48" t="str">
        <f>IF(Tracking!J126="","",IF(Person!$C$20="m",ABS((Tracking!J126/4-D$45)),ABS((Tracking!J126/4-D$48))))</f>
        <v/>
      </c>
      <c r="E162" s="48" t="str">
        <f>IF(Tracking!K126="","",IF(Person!$C$20="m",ABS((Tracking!K126/4-E$45)),ABS((Tracking!K126/4-E$48))))</f>
        <v/>
      </c>
      <c r="F162" s="48" t="str">
        <f>IF(Tracking!L126="","",IF(Person!$C$20="m",ABS((Tracking!L126/4-F$45)),ABS((Tracking!L126/4-F$48))))</f>
        <v/>
      </c>
      <c r="G162" s="48" t="str">
        <f>IF(Tracking!M126="","",IF(Person!$C$20="m",ABS((Tracking!M126/4-G$45)),ABS((Tracking!M126/4-G$48))))</f>
        <v/>
      </c>
      <c r="H162" s="48" t="str">
        <f>IF(Tracking!N126="","",IF(Person!$C$20="m",ABS((Tracking!N126/4-H$45)),ABS((Tracking!N126/4-H$48))))</f>
        <v/>
      </c>
      <c r="I162" s="48" t="str">
        <f>IF(Tracking!O126="","",IF(Person!$C$20="m",ABS((Tracking!O126/4-I$45)),ABS((Tracking!O126/4-I$48))))</f>
        <v/>
      </c>
      <c r="J162" s="48" t="str">
        <f>IF(Tracking!P126="","",IF(Person!$C$20="m",ABS((Tracking!P126/4-J$45)),ABS((Tracking!P126/4-J$48))))</f>
        <v/>
      </c>
      <c r="K162" s="48" t="str">
        <f>IF(Tracking!Q126="","",IF(Person!$C$20="m",ABS((Tracking!Q126/4-K$45)),ABS((Tracking!Q126/4-K$48))))</f>
        <v/>
      </c>
      <c r="L162" s="48" t="str">
        <f>IF(Tracking!R126="","",IF(Person!$C$20="m",ABS((Tracking!R126/4-L$45)),ABS((Tracking!R126/4-L$48))))</f>
        <v/>
      </c>
      <c r="M162" s="48" t="str">
        <f>IF(Tracking!S126="","",IF(Person!$C$20="m",ABS((Tracking!S126/4-M$45)),ABS((Tracking!S126/4-M$48))))</f>
        <v/>
      </c>
      <c r="N162" s="48" t="str">
        <f>IF(Tracking!T126="","",IF(Person!$C$20="m",ABS((Tracking!T126/4-N$45)),ABS((Tracking!T126/4-N$48))))</f>
        <v/>
      </c>
      <c r="O162" s="48" t="str">
        <f>IF(Tracking!U126="","",IF(Person!$C$20="m",ABS((Tracking!U126/4-O$45)),ABS((Tracking!U126/4-O$48))))</f>
        <v/>
      </c>
      <c r="P162" s="48" t="str">
        <f>IF(Tracking!V126="","",IF(Person!$C$20="m",ABS((Tracking!V126/4-P$45)),ABS((Tracking!V126/4-P$48))))</f>
        <v/>
      </c>
      <c r="Q162" s="43"/>
      <c r="R162" s="48" t="str">
        <f t="shared" ref="R162:AD162" si="114">IF(ISERROR(LARGE($D162:$P162,R$44)),"",LARGE($D162:$P162,R$44))</f>
        <v/>
      </c>
      <c r="S162" s="48" t="str">
        <f t="shared" si="114"/>
        <v/>
      </c>
      <c r="T162" s="48" t="str">
        <f t="shared" si="114"/>
        <v/>
      </c>
      <c r="U162" s="48" t="str">
        <f t="shared" si="114"/>
        <v/>
      </c>
      <c r="V162" s="48" t="str">
        <f t="shared" si="114"/>
        <v/>
      </c>
      <c r="W162" s="48" t="str">
        <f t="shared" si="114"/>
        <v/>
      </c>
      <c r="X162" s="48" t="str">
        <f t="shared" si="114"/>
        <v/>
      </c>
      <c r="Y162" s="48" t="str">
        <f t="shared" si="114"/>
        <v/>
      </c>
      <c r="Z162" s="48" t="str">
        <f t="shared" si="114"/>
        <v/>
      </c>
      <c r="AA162" s="48" t="str">
        <f t="shared" si="114"/>
        <v/>
      </c>
      <c r="AB162" s="48" t="str">
        <f t="shared" si="114"/>
        <v/>
      </c>
      <c r="AC162" s="48" t="str">
        <f t="shared" si="114"/>
        <v/>
      </c>
      <c r="AD162" s="48" t="str">
        <f t="shared" si="114"/>
        <v/>
      </c>
    </row>
    <row r="163" spans="1:30" ht="13.5" customHeight="1">
      <c r="A163" s="26"/>
      <c r="B163" s="26"/>
      <c r="C163" s="26"/>
      <c r="D163" s="49" t="str">
        <f t="shared" ref="D163:P163" si="115">IF(D162="","",IF(D162=$R162,1,IF(D162=$S162,2,IF(D162=$T162,3,IF(D162=$U162,4,IF(D162=$V162,5,IF(D162=$W162,6,IF(D162=$X162,7,IF(D162=$Y162,8,IF(D162=$Z162,9,IF(D162=$AA162,10,IF(D162=$AB162,11,IF(D162=$AC162,12,IF(D162=$AD162,13))))))))))))))</f>
        <v/>
      </c>
      <c r="E163" s="49" t="str">
        <f t="shared" si="115"/>
        <v/>
      </c>
      <c r="F163" s="49" t="str">
        <f t="shared" si="115"/>
        <v/>
      </c>
      <c r="G163" s="49" t="str">
        <f t="shared" si="115"/>
        <v/>
      </c>
      <c r="H163" s="49" t="str">
        <f t="shared" si="115"/>
        <v/>
      </c>
      <c r="I163" s="49" t="str">
        <f t="shared" si="115"/>
        <v/>
      </c>
      <c r="J163" s="49" t="str">
        <f t="shared" si="115"/>
        <v/>
      </c>
      <c r="K163" s="49" t="str">
        <f t="shared" si="115"/>
        <v/>
      </c>
      <c r="L163" s="49" t="str">
        <f t="shared" si="115"/>
        <v/>
      </c>
      <c r="M163" s="49" t="str">
        <f t="shared" si="115"/>
        <v/>
      </c>
      <c r="N163" s="49" t="str">
        <f t="shared" si="115"/>
        <v/>
      </c>
      <c r="O163" s="49" t="str">
        <f t="shared" si="115"/>
        <v/>
      </c>
      <c r="P163" s="49" t="str">
        <f t="shared" si="115"/>
        <v/>
      </c>
      <c r="Q163" s="43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</row>
    <row r="164" spans="1:30" ht="13.5" customHeight="1">
      <c r="A164" s="26"/>
      <c r="B164" s="26"/>
      <c r="C164" s="26"/>
      <c r="D164" s="48" t="str">
        <f>IF(Tracking!J128="","",IF(Person!$C$20="m",ABS((Tracking!J128/4-D$45)),ABS((Tracking!J128/4-D$48))))</f>
        <v/>
      </c>
      <c r="E164" s="48" t="str">
        <f>IF(Tracking!K128="","",IF(Person!$C$20="m",ABS((Tracking!K128/4-E$45)),ABS((Tracking!K128/4-E$48))))</f>
        <v/>
      </c>
      <c r="F164" s="48" t="str">
        <f>IF(Tracking!L128="","",IF(Person!$C$20="m",ABS((Tracking!L128/4-F$45)),ABS((Tracking!L128/4-F$48))))</f>
        <v/>
      </c>
      <c r="G164" s="48" t="str">
        <f>IF(Tracking!M128="","",IF(Person!$C$20="m",ABS((Tracking!M128/4-G$45)),ABS((Tracking!M128/4-G$48))))</f>
        <v/>
      </c>
      <c r="H164" s="48" t="str">
        <f>IF(Tracking!N128="","",IF(Person!$C$20="m",ABS((Tracking!N128/4-H$45)),ABS((Tracking!N128/4-H$48))))</f>
        <v/>
      </c>
      <c r="I164" s="48" t="str">
        <f>IF(Tracking!O128="","",IF(Person!$C$20="m",ABS((Tracking!O128/4-I$45)),ABS((Tracking!O128/4-I$48))))</f>
        <v/>
      </c>
      <c r="J164" s="48" t="str">
        <f>IF(Tracking!P128="","",IF(Person!$C$20="m",ABS((Tracking!P128/4-J$45)),ABS((Tracking!P128/4-J$48))))</f>
        <v/>
      </c>
      <c r="K164" s="48" t="str">
        <f>IF(Tracking!Q128="","",IF(Person!$C$20="m",ABS((Tracking!Q128/4-K$45)),ABS((Tracking!Q128/4-K$48))))</f>
        <v/>
      </c>
      <c r="L164" s="48" t="str">
        <f>IF(Tracking!R128="","",IF(Person!$C$20="m",ABS((Tracking!R128/4-L$45)),ABS((Tracking!R128/4-L$48))))</f>
        <v/>
      </c>
      <c r="M164" s="48" t="str">
        <f>IF(Tracking!S128="","",IF(Person!$C$20="m",ABS((Tracking!S128/4-M$45)),ABS((Tracking!S128/4-M$48))))</f>
        <v/>
      </c>
      <c r="N164" s="48" t="str">
        <f>IF(Tracking!T128="","",IF(Person!$C$20="m",ABS((Tracking!T128/4-N$45)),ABS((Tracking!T128/4-N$48))))</f>
        <v/>
      </c>
      <c r="O164" s="48" t="str">
        <f>IF(Tracking!U128="","",IF(Person!$C$20="m",ABS((Tracking!U128/4-O$45)),ABS((Tracking!U128/4-O$48))))</f>
        <v/>
      </c>
      <c r="P164" s="48" t="str">
        <f>IF(Tracking!V128="","",IF(Person!$C$20="m",ABS((Tracking!V128/4-P$45)),ABS((Tracking!V128/4-P$48))))</f>
        <v/>
      </c>
      <c r="Q164" s="43"/>
      <c r="R164" s="48" t="str">
        <f t="shared" ref="R164:AD164" si="116">IF(ISERROR(LARGE($D164:$P164,R$44)),"",LARGE($D164:$P164,R$44))</f>
        <v/>
      </c>
      <c r="S164" s="48" t="str">
        <f t="shared" si="116"/>
        <v/>
      </c>
      <c r="T164" s="48" t="str">
        <f t="shared" si="116"/>
        <v/>
      </c>
      <c r="U164" s="48" t="str">
        <f t="shared" si="116"/>
        <v/>
      </c>
      <c r="V164" s="48" t="str">
        <f t="shared" si="116"/>
        <v/>
      </c>
      <c r="W164" s="48" t="str">
        <f t="shared" si="116"/>
        <v/>
      </c>
      <c r="X164" s="48" t="str">
        <f t="shared" si="116"/>
        <v/>
      </c>
      <c r="Y164" s="48" t="str">
        <f t="shared" si="116"/>
        <v/>
      </c>
      <c r="Z164" s="48" t="str">
        <f t="shared" si="116"/>
        <v/>
      </c>
      <c r="AA164" s="48" t="str">
        <f t="shared" si="116"/>
        <v/>
      </c>
      <c r="AB164" s="48" t="str">
        <f t="shared" si="116"/>
        <v/>
      </c>
      <c r="AC164" s="48" t="str">
        <f t="shared" si="116"/>
        <v/>
      </c>
      <c r="AD164" s="48" t="str">
        <f t="shared" si="116"/>
        <v/>
      </c>
    </row>
    <row r="165" spans="1:30" ht="13.5" customHeight="1">
      <c r="A165" s="26"/>
      <c r="B165" s="26"/>
      <c r="C165" s="26"/>
      <c r="D165" s="49" t="str">
        <f t="shared" ref="D165:P165" si="117">IF(D164="","",IF(D164=$R164,1,IF(D164=$S164,2,IF(D164=$T164,3,IF(D164=$U164,4,IF(D164=$V164,5,IF(D164=$W164,6,IF(D164=$X164,7,IF(D164=$Y164,8,IF(D164=$Z164,9,IF(D164=$AA164,10,IF(D164=$AB164,11,IF(D164=$AC164,12,IF(D164=$AD164,13))))))))))))))</f>
        <v/>
      </c>
      <c r="E165" s="49" t="str">
        <f t="shared" si="117"/>
        <v/>
      </c>
      <c r="F165" s="49" t="str">
        <f t="shared" si="117"/>
        <v/>
      </c>
      <c r="G165" s="49" t="str">
        <f t="shared" si="117"/>
        <v/>
      </c>
      <c r="H165" s="49" t="str">
        <f t="shared" si="117"/>
        <v/>
      </c>
      <c r="I165" s="49" t="str">
        <f t="shared" si="117"/>
        <v/>
      </c>
      <c r="J165" s="49" t="str">
        <f t="shared" si="117"/>
        <v/>
      </c>
      <c r="K165" s="49" t="str">
        <f t="shared" si="117"/>
        <v/>
      </c>
      <c r="L165" s="49" t="str">
        <f t="shared" si="117"/>
        <v/>
      </c>
      <c r="M165" s="49" t="str">
        <f t="shared" si="117"/>
        <v/>
      </c>
      <c r="N165" s="49" t="str">
        <f t="shared" si="117"/>
        <v/>
      </c>
      <c r="O165" s="49" t="str">
        <f t="shared" si="117"/>
        <v/>
      </c>
      <c r="P165" s="49" t="str">
        <f t="shared" si="117"/>
        <v/>
      </c>
      <c r="Q165" s="43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</row>
    <row r="166" spans="1:30" ht="13.5" customHeight="1">
      <c r="A166" s="26"/>
      <c r="B166" s="26"/>
      <c r="C166" s="26"/>
      <c r="D166" s="48" t="str">
        <f>IF(Tracking!J130="","",IF(Person!$C$20="m",ABS((Tracking!J130/4-D$45)),ABS((Tracking!J130/4-D$48))))</f>
        <v/>
      </c>
      <c r="E166" s="48" t="str">
        <f>IF(Tracking!K130="","",IF(Person!$C$20="m",ABS((Tracking!K130/4-E$45)),ABS((Tracking!K130/4-E$48))))</f>
        <v/>
      </c>
      <c r="F166" s="48" t="str">
        <f>IF(Tracking!L130="","",IF(Person!$C$20="m",ABS((Tracking!L130/4-F$45)),ABS((Tracking!L130/4-F$48))))</f>
        <v/>
      </c>
      <c r="G166" s="48" t="str">
        <f>IF(Tracking!M130="","",IF(Person!$C$20="m",ABS((Tracking!M130/4-G$45)),ABS((Tracking!M130/4-G$48))))</f>
        <v/>
      </c>
      <c r="H166" s="48" t="str">
        <f>IF(Tracking!N130="","",IF(Person!$C$20="m",ABS((Tracking!N130/4-H$45)),ABS((Tracking!N130/4-H$48))))</f>
        <v/>
      </c>
      <c r="I166" s="48" t="str">
        <f>IF(Tracking!O130="","",IF(Person!$C$20="m",ABS((Tracking!O130/4-I$45)),ABS((Tracking!O130/4-I$48))))</f>
        <v/>
      </c>
      <c r="J166" s="48" t="str">
        <f>IF(Tracking!P130="","",IF(Person!$C$20="m",ABS((Tracking!P130/4-J$45)),ABS((Tracking!P130/4-J$48))))</f>
        <v/>
      </c>
      <c r="K166" s="48" t="str">
        <f>IF(Tracking!Q130="","",IF(Person!$C$20="m",ABS((Tracking!Q130/4-K$45)),ABS((Tracking!Q130/4-K$48))))</f>
        <v/>
      </c>
      <c r="L166" s="48" t="str">
        <f>IF(Tracking!R130="","",IF(Person!$C$20="m",ABS((Tracking!R130/4-L$45)),ABS((Tracking!R130/4-L$48))))</f>
        <v/>
      </c>
      <c r="M166" s="48" t="str">
        <f>IF(Tracking!S130="","",IF(Person!$C$20="m",ABS((Tracking!S130/4-M$45)),ABS((Tracking!S130/4-M$48))))</f>
        <v/>
      </c>
      <c r="N166" s="48" t="str">
        <f>IF(Tracking!T130="","",IF(Person!$C$20="m",ABS((Tracking!T130/4-N$45)),ABS((Tracking!T130/4-N$48))))</f>
        <v/>
      </c>
      <c r="O166" s="48" t="str">
        <f>IF(Tracking!U130="","",IF(Person!$C$20="m",ABS((Tracking!U130/4-O$45)),ABS((Tracking!U130/4-O$48))))</f>
        <v/>
      </c>
      <c r="P166" s="48" t="str">
        <f>IF(Tracking!V130="","",IF(Person!$C$20="m",ABS((Tracking!V130/4-P$45)),ABS((Tracking!V130/4-P$48))))</f>
        <v/>
      </c>
      <c r="Q166" s="43"/>
      <c r="R166" s="48" t="str">
        <f t="shared" ref="R166:AD166" si="118">IF(ISERROR(LARGE($D166:$P166,R$44)),"",LARGE($D166:$P166,R$44))</f>
        <v/>
      </c>
      <c r="S166" s="48" t="str">
        <f t="shared" si="118"/>
        <v/>
      </c>
      <c r="T166" s="48" t="str">
        <f t="shared" si="118"/>
        <v/>
      </c>
      <c r="U166" s="48" t="str">
        <f t="shared" si="118"/>
        <v/>
      </c>
      <c r="V166" s="48" t="str">
        <f t="shared" si="118"/>
        <v/>
      </c>
      <c r="W166" s="48" t="str">
        <f t="shared" si="118"/>
        <v/>
      </c>
      <c r="X166" s="48" t="str">
        <f t="shared" si="118"/>
        <v/>
      </c>
      <c r="Y166" s="48" t="str">
        <f t="shared" si="118"/>
        <v/>
      </c>
      <c r="Z166" s="48" t="str">
        <f t="shared" si="118"/>
        <v/>
      </c>
      <c r="AA166" s="48" t="str">
        <f t="shared" si="118"/>
        <v/>
      </c>
      <c r="AB166" s="48" t="str">
        <f t="shared" si="118"/>
        <v/>
      </c>
      <c r="AC166" s="48" t="str">
        <f t="shared" si="118"/>
        <v/>
      </c>
      <c r="AD166" s="48" t="str">
        <f t="shared" si="118"/>
        <v/>
      </c>
    </row>
    <row r="167" spans="1:30" ht="13.5" customHeight="1">
      <c r="A167" s="26"/>
      <c r="B167" s="26"/>
      <c r="C167" s="26"/>
      <c r="D167" s="49" t="str">
        <f t="shared" ref="D167:P167" si="119">IF(D166="","",IF(D166=$R166,1,IF(D166=$S166,2,IF(D166=$T166,3,IF(D166=$U166,4,IF(D166=$V166,5,IF(D166=$W166,6,IF(D166=$X166,7,IF(D166=$Y166,8,IF(D166=$Z166,9,IF(D166=$AA166,10,IF(D166=$AB166,11,IF(D166=$AC166,12,IF(D166=$AD166,13))))))))))))))</f>
        <v/>
      </c>
      <c r="E167" s="49" t="str">
        <f t="shared" si="119"/>
        <v/>
      </c>
      <c r="F167" s="49" t="str">
        <f t="shared" si="119"/>
        <v/>
      </c>
      <c r="G167" s="49" t="str">
        <f t="shared" si="119"/>
        <v/>
      </c>
      <c r="H167" s="49" t="str">
        <f t="shared" si="119"/>
        <v/>
      </c>
      <c r="I167" s="49" t="str">
        <f t="shared" si="119"/>
        <v/>
      </c>
      <c r="J167" s="49" t="str">
        <f t="shared" si="119"/>
        <v/>
      </c>
      <c r="K167" s="49" t="str">
        <f t="shared" si="119"/>
        <v/>
      </c>
      <c r="L167" s="49" t="str">
        <f t="shared" si="119"/>
        <v/>
      </c>
      <c r="M167" s="49" t="str">
        <f t="shared" si="119"/>
        <v/>
      </c>
      <c r="N167" s="49" t="str">
        <f t="shared" si="119"/>
        <v/>
      </c>
      <c r="O167" s="49" t="str">
        <f t="shared" si="119"/>
        <v/>
      </c>
      <c r="P167" s="49" t="str">
        <f t="shared" si="119"/>
        <v/>
      </c>
      <c r="Q167" s="43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</row>
    <row r="168" spans="1:30" ht="13.5" customHeight="1">
      <c r="A168" s="26"/>
      <c r="B168" s="26"/>
      <c r="C168" s="26"/>
      <c r="D168" s="48" t="str">
        <f>IF(Tracking!J132="","",IF(Person!$C$20="m",ABS((Tracking!J132/4-D$45)),ABS((Tracking!J132/4-D$48))))</f>
        <v/>
      </c>
      <c r="E168" s="48" t="str">
        <f>IF(Tracking!K132="","",IF(Person!$C$20="m",ABS((Tracking!K132/4-E$45)),ABS((Tracking!K132/4-E$48))))</f>
        <v/>
      </c>
      <c r="F168" s="48" t="str">
        <f>IF(Tracking!L132="","",IF(Person!$C$20="m",ABS((Tracking!L132/4-F$45)),ABS((Tracking!L132/4-F$48))))</f>
        <v/>
      </c>
      <c r="G168" s="48" t="str">
        <f>IF(Tracking!M132="","",IF(Person!$C$20="m",ABS((Tracking!M132/4-G$45)),ABS((Tracking!M132/4-G$48))))</f>
        <v/>
      </c>
      <c r="H168" s="48" t="str">
        <f>IF(Tracking!N132="","",IF(Person!$C$20="m",ABS((Tracking!N132/4-H$45)),ABS((Tracking!N132/4-H$48))))</f>
        <v/>
      </c>
      <c r="I168" s="48" t="str">
        <f>IF(Tracking!O132="","",IF(Person!$C$20="m",ABS((Tracking!O132/4-I$45)),ABS((Tracking!O132/4-I$48))))</f>
        <v/>
      </c>
      <c r="J168" s="48" t="str">
        <f>IF(Tracking!P132="","",IF(Person!$C$20="m",ABS((Tracking!P132/4-J$45)),ABS((Tracking!P132/4-J$48))))</f>
        <v/>
      </c>
      <c r="K168" s="48" t="str">
        <f>IF(Tracking!Q132="","",IF(Person!$C$20="m",ABS((Tracking!Q132/4-K$45)),ABS((Tracking!Q132/4-K$48))))</f>
        <v/>
      </c>
      <c r="L168" s="48" t="str">
        <f>IF(Tracking!R132="","",IF(Person!$C$20="m",ABS((Tracking!R132/4-L$45)),ABS((Tracking!R132/4-L$48))))</f>
        <v/>
      </c>
      <c r="M168" s="48" t="str">
        <f>IF(Tracking!S132="","",IF(Person!$C$20="m",ABS((Tracking!S132/4-M$45)),ABS((Tracking!S132/4-M$48))))</f>
        <v/>
      </c>
      <c r="N168" s="48" t="str">
        <f>IF(Tracking!T132="","",IF(Person!$C$20="m",ABS((Tracking!T132/4-N$45)),ABS((Tracking!T132/4-N$48))))</f>
        <v/>
      </c>
      <c r="O168" s="48" t="str">
        <f>IF(Tracking!U132="","",IF(Person!$C$20="m",ABS((Tracking!U132/4-O$45)),ABS((Tracking!U132/4-O$48))))</f>
        <v/>
      </c>
      <c r="P168" s="48" t="str">
        <f>IF(Tracking!V132="","",IF(Person!$C$20="m",ABS((Tracking!V132/4-P$45)),ABS((Tracking!V132/4-P$48))))</f>
        <v/>
      </c>
      <c r="Q168" s="43"/>
      <c r="R168" s="48" t="str">
        <f t="shared" ref="R168:AD168" si="120">IF(ISERROR(LARGE($D168:$P168,R$44)),"",LARGE($D168:$P168,R$44))</f>
        <v/>
      </c>
      <c r="S168" s="48" t="str">
        <f t="shared" si="120"/>
        <v/>
      </c>
      <c r="T168" s="48" t="str">
        <f t="shared" si="120"/>
        <v/>
      </c>
      <c r="U168" s="48" t="str">
        <f t="shared" si="120"/>
        <v/>
      </c>
      <c r="V168" s="48" t="str">
        <f t="shared" si="120"/>
        <v/>
      </c>
      <c r="W168" s="48" t="str">
        <f t="shared" si="120"/>
        <v/>
      </c>
      <c r="X168" s="48" t="str">
        <f t="shared" si="120"/>
        <v/>
      </c>
      <c r="Y168" s="48" t="str">
        <f t="shared" si="120"/>
        <v/>
      </c>
      <c r="Z168" s="48" t="str">
        <f t="shared" si="120"/>
        <v/>
      </c>
      <c r="AA168" s="48" t="str">
        <f t="shared" si="120"/>
        <v/>
      </c>
      <c r="AB168" s="48" t="str">
        <f t="shared" si="120"/>
        <v/>
      </c>
      <c r="AC168" s="48" t="str">
        <f t="shared" si="120"/>
        <v/>
      </c>
      <c r="AD168" s="48" t="str">
        <f t="shared" si="120"/>
        <v/>
      </c>
    </row>
    <row r="169" spans="1:30" ht="13.5" customHeight="1">
      <c r="A169" s="26"/>
      <c r="B169" s="26"/>
      <c r="C169" s="26"/>
      <c r="D169" s="49" t="str">
        <f t="shared" ref="D169:P169" si="121">IF(D168="","",IF(D168=$R168,1,IF(D168=$S168,2,IF(D168=$T168,3,IF(D168=$U168,4,IF(D168=$V168,5,IF(D168=$W168,6,IF(D168=$X168,7,IF(D168=$Y168,8,IF(D168=$Z168,9,IF(D168=$AA168,10,IF(D168=$AB168,11,IF(D168=$AC168,12,IF(D168=$AD168,13))))))))))))))</f>
        <v/>
      </c>
      <c r="E169" s="49" t="str">
        <f t="shared" si="121"/>
        <v/>
      </c>
      <c r="F169" s="49" t="str">
        <f t="shared" si="121"/>
        <v/>
      </c>
      <c r="G169" s="49" t="str">
        <f t="shared" si="121"/>
        <v/>
      </c>
      <c r="H169" s="49" t="str">
        <f t="shared" si="121"/>
        <v/>
      </c>
      <c r="I169" s="49" t="str">
        <f t="shared" si="121"/>
        <v/>
      </c>
      <c r="J169" s="49" t="str">
        <f t="shared" si="121"/>
        <v/>
      </c>
      <c r="K169" s="49" t="str">
        <f t="shared" si="121"/>
        <v/>
      </c>
      <c r="L169" s="49" t="str">
        <f t="shared" si="121"/>
        <v/>
      </c>
      <c r="M169" s="49" t="str">
        <f t="shared" si="121"/>
        <v/>
      </c>
      <c r="N169" s="49" t="str">
        <f t="shared" si="121"/>
        <v/>
      </c>
      <c r="O169" s="49" t="str">
        <f t="shared" si="121"/>
        <v/>
      </c>
      <c r="P169" s="49" t="str">
        <f t="shared" si="121"/>
        <v/>
      </c>
      <c r="Q169" s="43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</row>
    <row r="170" spans="1:30" ht="13.5" customHeight="1">
      <c r="A170" s="26"/>
      <c r="B170" s="26"/>
      <c r="C170" s="26"/>
      <c r="D170" s="48" t="str">
        <f>IF(Tracking!J134="","",IF(Person!$C$20="m",ABS((Tracking!J134/4-D$45)),ABS((Tracking!J134/4-D$48))))</f>
        <v/>
      </c>
      <c r="E170" s="48" t="str">
        <f>IF(Tracking!K134="","",IF(Person!$C$20="m",ABS((Tracking!K134/4-E$45)),ABS((Tracking!K134/4-E$48))))</f>
        <v/>
      </c>
      <c r="F170" s="48" t="str">
        <f>IF(Tracking!L134="","",IF(Person!$C$20="m",ABS((Tracking!L134/4-F$45)),ABS((Tracking!L134/4-F$48))))</f>
        <v/>
      </c>
      <c r="G170" s="48" t="str">
        <f>IF(Tracking!M134="","",IF(Person!$C$20="m",ABS((Tracking!M134/4-G$45)),ABS((Tracking!M134/4-G$48))))</f>
        <v/>
      </c>
      <c r="H170" s="48" t="str">
        <f>IF(Tracking!N134="","",IF(Person!$C$20="m",ABS((Tracking!N134/4-H$45)),ABS((Tracking!N134/4-H$48))))</f>
        <v/>
      </c>
      <c r="I170" s="48" t="str">
        <f>IF(Tracking!O134="","",IF(Person!$C$20="m",ABS((Tracking!O134/4-I$45)),ABS((Tracking!O134/4-I$48))))</f>
        <v/>
      </c>
      <c r="J170" s="48" t="str">
        <f>IF(Tracking!P134="","",IF(Person!$C$20="m",ABS((Tracking!P134/4-J$45)),ABS((Tracking!P134/4-J$48))))</f>
        <v/>
      </c>
      <c r="K170" s="48" t="str">
        <f>IF(Tracking!Q134="","",IF(Person!$C$20="m",ABS((Tracking!Q134/4-K$45)),ABS((Tracking!Q134/4-K$48))))</f>
        <v/>
      </c>
      <c r="L170" s="48" t="str">
        <f>IF(Tracking!R134="","",IF(Person!$C$20="m",ABS((Tracking!R134/4-L$45)),ABS((Tracking!R134/4-L$48))))</f>
        <v/>
      </c>
      <c r="M170" s="48" t="str">
        <f>IF(Tracking!S134="","",IF(Person!$C$20="m",ABS((Tracking!S134/4-M$45)),ABS((Tracking!S134/4-M$48))))</f>
        <v/>
      </c>
      <c r="N170" s="48" t="str">
        <f>IF(Tracking!T134="","",IF(Person!$C$20="m",ABS((Tracking!T134/4-N$45)),ABS((Tracking!T134/4-N$48))))</f>
        <v/>
      </c>
      <c r="O170" s="48" t="str">
        <f>IF(Tracking!U134="","",IF(Person!$C$20="m",ABS((Tracking!U134/4-O$45)),ABS((Tracking!U134/4-O$48))))</f>
        <v/>
      </c>
      <c r="P170" s="48" t="str">
        <f>IF(Tracking!V134="","",IF(Person!$C$20="m",ABS((Tracking!V134/4-P$45)),ABS((Tracking!V134/4-P$48))))</f>
        <v/>
      </c>
      <c r="Q170" s="43"/>
      <c r="R170" s="48" t="str">
        <f t="shared" ref="R170:AD170" si="122">IF(ISERROR(LARGE($D170:$P170,R$44)),"",LARGE($D170:$P170,R$44))</f>
        <v/>
      </c>
      <c r="S170" s="48" t="str">
        <f t="shared" si="122"/>
        <v/>
      </c>
      <c r="T170" s="48" t="str">
        <f t="shared" si="122"/>
        <v/>
      </c>
      <c r="U170" s="48" t="str">
        <f t="shared" si="122"/>
        <v/>
      </c>
      <c r="V170" s="48" t="str">
        <f t="shared" si="122"/>
        <v/>
      </c>
      <c r="W170" s="48" t="str">
        <f t="shared" si="122"/>
        <v/>
      </c>
      <c r="X170" s="48" t="str">
        <f t="shared" si="122"/>
        <v/>
      </c>
      <c r="Y170" s="48" t="str">
        <f t="shared" si="122"/>
        <v/>
      </c>
      <c r="Z170" s="48" t="str">
        <f t="shared" si="122"/>
        <v/>
      </c>
      <c r="AA170" s="48" t="str">
        <f t="shared" si="122"/>
        <v/>
      </c>
      <c r="AB170" s="48" t="str">
        <f t="shared" si="122"/>
        <v/>
      </c>
      <c r="AC170" s="48" t="str">
        <f t="shared" si="122"/>
        <v/>
      </c>
      <c r="AD170" s="48" t="str">
        <f t="shared" si="122"/>
        <v/>
      </c>
    </row>
    <row r="171" spans="1:30" ht="13.5" customHeight="1">
      <c r="A171" s="26"/>
      <c r="B171" s="26"/>
      <c r="C171" s="26"/>
      <c r="D171" s="49" t="str">
        <f t="shared" ref="D171:P171" si="123">IF(D170="","",IF(D170=$R170,1,IF(D170=$S170,2,IF(D170=$T170,3,IF(D170=$U170,4,IF(D170=$V170,5,IF(D170=$W170,6,IF(D170=$X170,7,IF(D170=$Y170,8,IF(D170=$Z170,9,IF(D170=$AA170,10,IF(D170=$AB170,11,IF(D170=$AC170,12,IF(D170=$AD170,13))))))))))))))</f>
        <v/>
      </c>
      <c r="E171" s="49" t="str">
        <f t="shared" si="123"/>
        <v/>
      </c>
      <c r="F171" s="49" t="str">
        <f t="shared" si="123"/>
        <v/>
      </c>
      <c r="G171" s="49" t="str">
        <f t="shared" si="123"/>
        <v/>
      </c>
      <c r="H171" s="49" t="str">
        <f t="shared" si="123"/>
        <v/>
      </c>
      <c r="I171" s="49" t="str">
        <f t="shared" si="123"/>
        <v/>
      </c>
      <c r="J171" s="49" t="str">
        <f t="shared" si="123"/>
        <v/>
      </c>
      <c r="K171" s="49" t="str">
        <f t="shared" si="123"/>
        <v/>
      </c>
      <c r="L171" s="49" t="str">
        <f t="shared" si="123"/>
        <v/>
      </c>
      <c r="M171" s="49" t="str">
        <f t="shared" si="123"/>
        <v/>
      </c>
      <c r="N171" s="49" t="str">
        <f t="shared" si="123"/>
        <v/>
      </c>
      <c r="O171" s="49" t="str">
        <f t="shared" si="123"/>
        <v/>
      </c>
      <c r="P171" s="49" t="str">
        <f t="shared" si="123"/>
        <v/>
      </c>
      <c r="Q171" s="43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</row>
    <row r="172" spans="1:30" ht="13.5" customHeight="1">
      <c r="A172" s="26"/>
      <c r="B172" s="26"/>
      <c r="C172" s="26"/>
      <c r="D172" s="48" t="str">
        <f>IF(Tracking!J136="","",IF(Person!$C$20="m",ABS((Tracking!J136/4-D$45)),ABS((Tracking!J136/4-D$48))))</f>
        <v/>
      </c>
      <c r="E172" s="48" t="str">
        <f>IF(Tracking!K136="","",IF(Person!$C$20="m",ABS((Tracking!K136/4-E$45)),ABS((Tracking!K136/4-E$48))))</f>
        <v/>
      </c>
      <c r="F172" s="48" t="str">
        <f>IF(Tracking!L136="","",IF(Person!$C$20="m",ABS((Tracking!L136/4-F$45)),ABS((Tracking!L136/4-F$48))))</f>
        <v/>
      </c>
      <c r="G172" s="48" t="str">
        <f>IF(Tracking!M136="","",IF(Person!$C$20="m",ABS((Tracking!M136/4-G$45)),ABS((Tracking!M136/4-G$48))))</f>
        <v/>
      </c>
      <c r="H172" s="48" t="str">
        <f>IF(Tracking!N136="","",IF(Person!$C$20="m",ABS((Tracking!N136/4-H$45)),ABS((Tracking!N136/4-H$48))))</f>
        <v/>
      </c>
      <c r="I172" s="48" t="str">
        <f>IF(Tracking!O136="","",IF(Person!$C$20="m",ABS((Tracking!O136/4-I$45)),ABS((Tracking!O136/4-I$48))))</f>
        <v/>
      </c>
      <c r="J172" s="48" t="str">
        <f>IF(Tracking!P136="","",IF(Person!$C$20="m",ABS((Tracking!P136/4-J$45)),ABS((Tracking!P136/4-J$48))))</f>
        <v/>
      </c>
      <c r="K172" s="48" t="str">
        <f>IF(Tracking!Q136="","",IF(Person!$C$20="m",ABS((Tracking!Q136/4-K$45)),ABS((Tracking!Q136/4-K$48))))</f>
        <v/>
      </c>
      <c r="L172" s="48" t="str">
        <f>IF(Tracking!R136="","",IF(Person!$C$20="m",ABS((Tracking!R136/4-L$45)),ABS((Tracking!R136/4-L$48))))</f>
        <v/>
      </c>
      <c r="M172" s="48" t="str">
        <f>IF(Tracking!S136="","",IF(Person!$C$20="m",ABS((Tracking!S136/4-M$45)),ABS((Tracking!S136/4-M$48))))</f>
        <v/>
      </c>
      <c r="N172" s="48" t="str">
        <f>IF(Tracking!T136="","",IF(Person!$C$20="m",ABS((Tracking!T136/4-N$45)),ABS((Tracking!T136/4-N$48))))</f>
        <v/>
      </c>
      <c r="O172" s="48" t="str">
        <f>IF(Tracking!U136="","",IF(Person!$C$20="m",ABS((Tracking!U136/4-O$45)),ABS((Tracking!U136/4-O$48))))</f>
        <v/>
      </c>
      <c r="P172" s="48" t="str">
        <f>IF(Tracking!V136="","",IF(Person!$C$20="m",ABS((Tracking!V136/4-P$45)),ABS((Tracking!V136/4-P$48))))</f>
        <v/>
      </c>
      <c r="Q172" s="43"/>
      <c r="R172" s="48" t="str">
        <f t="shared" ref="R172:AD172" si="124">IF(ISERROR(LARGE($D172:$P172,R$44)),"",LARGE($D172:$P172,R$44))</f>
        <v/>
      </c>
      <c r="S172" s="48" t="str">
        <f t="shared" si="124"/>
        <v/>
      </c>
      <c r="T172" s="48" t="str">
        <f t="shared" si="124"/>
        <v/>
      </c>
      <c r="U172" s="48" t="str">
        <f t="shared" si="124"/>
        <v/>
      </c>
      <c r="V172" s="48" t="str">
        <f t="shared" si="124"/>
        <v/>
      </c>
      <c r="W172" s="48" t="str">
        <f t="shared" si="124"/>
        <v/>
      </c>
      <c r="X172" s="48" t="str">
        <f t="shared" si="124"/>
        <v/>
      </c>
      <c r="Y172" s="48" t="str">
        <f t="shared" si="124"/>
        <v/>
      </c>
      <c r="Z172" s="48" t="str">
        <f t="shared" si="124"/>
        <v/>
      </c>
      <c r="AA172" s="48" t="str">
        <f t="shared" si="124"/>
        <v/>
      </c>
      <c r="AB172" s="48" t="str">
        <f t="shared" si="124"/>
        <v/>
      </c>
      <c r="AC172" s="48" t="str">
        <f t="shared" si="124"/>
        <v/>
      </c>
      <c r="AD172" s="48" t="str">
        <f t="shared" si="124"/>
        <v/>
      </c>
    </row>
    <row r="173" spans="1:30" ht="13.5" customHeight="1">
      <c r="A173" s="26"/>
      <c r="B173" s="26"/>
      <c r="C173" s="26"/>
      <c r="D173" s="49" t="str">
        <f t="shared" ref="D173:P173" si="125">IF(D172="","",IF(D172=$R172,1,IF(D172=$S172,2,IF(D172=$T172,3,IF(D172=$U172,4,IF(D172=$V172,5,IF(D172=$W172,6,IF(D172=$X172,7,IF(D172=$Y172,8,IF(D172=$Z172,9,IF(D172=$AA172,10,IF(D172=$AB172,11,IF(D172=$AC172,12,IF(D172=$AD172,13))))))))))))))</f>
        <v/>
      </c>
      <c r="E173" s="49" t="str">
        <f t="shared" si="125"/>
        <v/>
      </c>
      <c r="F173" s="49" t="str">
        <f t="shared" si="125"/>
        <v/>
      </c>
      <c r="G173" s="49" t="str">
        <f t="shared" si="125"/>
        <v/>
      </c>
      <c r="H173" s="49" t="str">
        <f t="shared" si="125"/>
        <v/>
      </c>
      <c r="I173" s="49" t="str">
        <f t="shared" si="125"/>
        <v/>
      </c>
      <c r="J173" s="49" t="str">
        <f t="shared" si="125"/>
        <v/>
      </c>
      <c r="K173" s="49" t="str">
        <f t="shared" si="125"/>
        <v/>
      </c>
      <c r="L173" s="49" t="str">
        <f t="shared" si="125"/>
        <v/>
      </c>
      <c r="M173" s="49" t="str">
        <f t="shared" si="125"/>
        <v/>
      </c>
      <c r="N173" s="49" t="str">
        <f t="shared" si="125"/>
        <v/>
      </c>
      <c r="O173" s="49" t="str">
        <f t="shared" si="125"/>
        <v/>
      </c>
      <c r="P173" s="49" t="str">
        <f t="shared" si="125"/>
        <v/>
      </c>
      <c r="Q173" s="43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</row>
    <row r="174" spans="1:30" ht="13.5" customHeight="1">
      <c r="A174" s="26"/>
      <c r="B174" s="26"/>
      <c r="C174" s="26"/>
      <c r="D174" s="48" t="str">
        <f>IF(Tracking!J138="","",IF(Person!$C$20="m",ABS((Tracking!J138/4-D$45)),ABS((Tracking!J138/4-D$48))))</f>
        <v/>
      </c>
      <c r="E174" s="48" t="str">
        <f>IF(Tracking!K138="","",IF(Person!$C$20="m",ABS((Tracking!K138/4-E$45)),ABS((Tracking!K138/4-E$48))))</f>
        <v/>
      </c>
      <c r="F174" s="48" t="str">
        <f>IF(Tracking!L138="","",IF(Person!$C$20="m",ABS((Tracking!L138/4-F$45)),ABS((Tracking!L138/4-F$48))))</f>
        <v/>
      </c>
      <c r="G174" s="48" t="str">
        <f>IF(Tracking!M138="","",IF(Person!$C$20="m",ABS((Tracking!M138/4-G$45)),ABS((Tracking!M138/4-G$48))))</f>
        <v/>
      </c>
      <c r="H174" s="48" t="str">
        <f>IF(Tracking!N138="","",IF(Person!$C$20="m",ABS((Tracking!N138/4-H$45)),ABS((Tracking!N138/4-H$48))))</f>
        <v/>
      </c>
      <c r="I174" s="48" t="str">
        <f>IF(Tracking!O138="","",IF(Person!$C$20="m",ABS((Tracking!O138/4-I$45)),ABS((Tracking!O138/4-I$48))))</f>
        <v/>
      </c>
      <c r="J174" s="48" t="str">
        <f>IF(Tracking!P138="","",IF(Person!$C$20="m",ABS((Tracking!P138/4-J$45)),ABS((Tracking!P138/4-J$48))))</f>
        <v/>
      </c>
      <c r="K174" s="48" t="str">
        <f>IF(Tracking!Q138="","",IF(Person!$C$20="m",ABS((Tracking!Q138/4-K$45)),ABS((Tracking!Q138/4-K$48))))</f>
        <v/>
      </c>
      <c r="L174" s="48" t="str">
        <f>IF(Tracking!R138="","",IF(Person!$C$20="m",ABS((Tracking!R138/4-L$45)),ABS((Tracking!R138/4-L$48))))</f>
        <v/>
      </c>
      <c r="M174" s="48" t="str">
        <f>IF(Tracking!S138="","",IF(Person!$C$20="m",ABS((Tracking!S138/4-M$45)),ABS((Tracking!S138/4-M$48))))</f>
        <v/>
      </c>
      <c r="N174" s="48" t="str">
        <f>IF(Tracking!T138="","",IF(Person!$C$20="m",ABS((Tracking!T138/4-N$45)),ABS((Tracking!T138/4-N$48))))</f>
        <v/>
      </c>
      <c r="O174" s="48" t="str">
        <f>IF(Tracking!U138="","",IF(Person!$C$20="m",ABS((Tracking!U138/4-O$45)),ABS((Tracking!U138/4-O$48))))</f>
        <v/>
      </c>
      <c r="P174" s="48" t="str">
        <f>IF(Tracking!V138="","",IF(Person!$C$20="m",ABS((Tracking!V138/4-P$45)),ABS((Tracking!V138/4-P$48))))</f>
        <v/>
      </c>
      <c r="Q174" s="43"/>
      <c r="R174" s="48" t="str">
        <f t="shared" ref="R174:AD174" si="126">IF(ISERROR(LARGE($D174:$P174,R$44)),"",LARGE($D174:$P174,R$44))</f>
        <v/>
      </c>
      <c r="S174" s="48" t="str">
        <f t="shared" si="126"/>
        <v/>
      </c>
      <c r="T174" s="48" t="str">
        <f t="shared" si="126"/>
        <v/>
      </c>
      <c r="U174" s="48" t="str">
        <f t="shared" si="126"/>
        <v/>
      </c>
      <c r="V174" s="48" t="str">
        <f t="shared" si="126"/>
        <v/>
      </c>
      <c r="W174" s="48" t="str">
        <f t="shared" si="126"/>
        <v/>
      </c>
      <c r="X174" s="48" t="str">
        <f t="shared" si="126"/>
        <v/>
      </c>
      <c r="Y174" s="48" t="str">
        <f t="shared" si="126"/>
        <v/>
      </c>
      <c r="Z174" s="48" t="str">
        <f t="shared" si="126"/>
        <v/>
      </c>
      <c r="AA174" s="48" t="str">
        <f t="shared" si="126"/>
        <v/>
      </c>
      <c r="AB174" s="48" t="str">
        <f t="shared" si="126"/>
        <v/>
      </c>
      <c r="AC174" s="48" t="str">
        <f t="shared" si="126"/>
        <v/>
      </c>
      <c r="AD174" s="48" t="str">
        <f t="shared" si="126"/>
        <v/>
      </c>
    </row>
    <row r="175" spans="1:30" ht="13.5" customHeight="1">
      <c r="A175" s="26"/>
      <c r="B175" s="26"/>
      <c r="C175" s="26"/>
      <c r="D175" s="49" t="str">
        <f t="shared" ref="D175:P175" si="127">IF(D174="","",IF(D174=$R174,1,IF(D174=$S174,2,IF(D174=$T174,3,IF(D174=$U174,4,IF(D174=$V174,5,IF(D174=$W174,6,IF(D174=$X174,7,IF(D174=$Y174,8,IF(D174=$Z174,9,IF(D174=$AA174,10,IF(D174=$AB174,11,IF(D174=$AC174,12,IF(D174=$AD174,13))))))))))))))</f>
        <v/>
      </c>
      <c r="E175" s="49" t="str">
        <f t="shared" si="127"/>
        <v/>
      </c>
      <c r="F175" s="49" t="str">
        <f t="shared" si="127"/>
        <v/>
      </c>
      <c r="G175" s="49" t="str">
        <f t="shared" si="127"/>
        <v/>
      </c>
      <c r="H175" s="49" t="str">
        <f t="shared" si="127"/>
        <v/>
      </c>
      <c r="I175" s="49" t="str">
        <f t="shared" si="127"/>
        <v/>
      </c>
      <c r="J175" s="49" t="str">
        <f t="shared" si="127"/>
        <v/>
      </c>
      <c r="K175" s="49" t="str">
        <f t="shared" si="127"/>
        <v/>
      </c>
      <c r="L175" s="49" t="str">
        <f t="shared" si="127"/>
        <v/>
      </c>
      <c r="M175" s="49" t="str">
        <f t="shared" si="127"/>
        <v/>
      </c>
      <c r="N175" s="49" t="str">
        <f t="shared" si="127"/>
        <v/>
      </c>
      <c r="O175" s="49" t="str">
        <f t="shared" si="127"/>
        <v/>
      </c>
      <c r="P175" s="49" t="str">
        <f t="shared" si="127"/>
        <v/>
      </c>
      <c r="Q175" s="43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</row>
    <row r="176" spans="1:30" ht="13.5" customHeight="1">
      <c r="A176" s="26"/>
      <c r="B176" s="26"/>
      <c r="C176" s="26"/>
      <c r="D176" s="48" t="str">
        <f>IF(Tracking!J140="","",IF(Person!$C$20="m",ABS((Tracking!J140/4-D$45)),ABS((Tracking!J140/4-D$48))))</f>
        <v/>
      </c>
      <c r="E176" s="48" t="str">
        <f>IF(Tracking!K140="","",IF(Person!$C$20="m",ABS((Tracking!K140/4-E$45)),ABS((Tracking!K140/4-E$48))))</f>
        <v/>
      </c>
      <c r="F176" s="48" t="str">
        <f>IF(Tracking!L140="","",IF(Person!$C$20="m",ABS((Tracking!L140/4-F$45)),ABS((Tracking!L140/4-F$48))))</f>
        <v/>
      </c>
      <c r="G176" s="48" t="str">
        <f>IF(Tracking!M140="","",IF(Person!$C$20="m",ABS((Tracking!M140/4-G$45)),ABS((Tracking!M140/4-G$48))))</f>
        <v/>
      </c>
      <c r="H176" s="48" t="str">
        <f>IF(Tracking!N140="","",IF(Person!$C$20="m",ABS((Tracking!N140/4-H$45)),ABS((Tracking!N140/4-H$48))))</f>
        <v/>
      </c>
      <c r="I176" s="48" t="str">
        <f>IF(Tracking!O140="","",IF(Person!$C$20="m",ABS((Tracking!O140/4-I$45)),ABS((Tracking!O140/4-I$48))))</f>
        <v/>
      </c>
      <c r="J176" s="48" t="str">
        <f>IF(Tracking!P140="","",IF(Person!$C$20="m",ABS((Tracking!P140/4-J$45)),ABS((Tracking!P140/4-J$48))))</f>
        <v/>
      </c>
      <c r="K176" s="48" t="str">
        <f>IF(Tracking!Q140="","",IF(Person!$C$20="m",ABS((Tracking!Q140/4-K$45)),ABS((Tracking!Q140/4-K$48))))</f>
        <v/>
      </c>
      <c r="L176" s="48" t="str">
        <f>IF(Tracking!R140="","",IF(Person!$C$20="m",ABS((Tracking!R140/4-L$45)),ABS((Tracking!R140/4-L$48))))</f>
        <v/>
      </c>
      <c r="M176" s="48" t="str">
        <f>IF(Tracking!S140="","",IF(Person!$C$20="m",ABS((Tracking!S140/4-M$45)),ABS((Tracking!S140/4-M$48))))</f>
        <v/>
      </c>
      <c r="N176" s="48" t="str">
        <f>IF(Tracking!T140="","",IF(Person!$C$20="m",ABS((Tracking!T140/4-N$45)),ABS((Tracking!T140/4-N$48))))</f>
        <v/>
      </c>
      <c r="O176" s="48" t="str">
        <f>IF(Tracking!U140="","",IF(Person!$C$20="m",ABS((Tracking!U140/4-O$45)),ABS((Tracking!U140/4-O$48))))</f>
        <v/>
      </c>
      <c r="P176" s="48" t="str">
        <f>IF(Tracking!V140="","",IF(Person!$C$20="m",ABS((Tracking!V140/4-P$45)),ABS((Tracking!V140/4-P$48))))</f>
        <v/>
      </c>
      <c r="Q176" s="43"/>
      <c r="R176" s="48" t="str">
        <f t="shared" ref="R176:AD176" si="128">IF(ISERROR(LARGE($D176:$P176,R$44)),"",LARGE($D176:$P176,R$44))</f>
        <v/>
      </c>
      <c r="S176" s="48" t="str">
        <f t="shared" si="128"/>
        <v/>
      </c>
      <c r="T176" s="48" t="str">
        <f t="shared" si="128"/>
        <v/>
      </c>
      <c r="U176" s="48" t="str">
        <f t="shared" si="128"/>
        <v/>
      </c>
      <c r="V176" s="48" t="str">
        <f t="shared" si="128"/>
        <v/>
      </c>
      <c r="W176" s="48" t="str">
        <f t="shared" si="128"/>
        <v/>
      </c>
      <c r="X176" s="48" t="str">
        <f t="shared" si="128"/>
        <v/>
      </c>
      <c r="Y176" s="48" t="str">
        <f t="shared" si="128"/>
        <v/>
      </c>
      <c r="Z176" s="48" t="str">
        <f t="shared" si="128"/>
        <v/>
      </c>
      <c r="AA176" s="48" t="str">
        <f t="shared" si="128"/>
        <v/>
      </c>
      <c r="AB176" s="48" t="str">
        <f t="shared" si="128"/>
        <v/>
      </c>
      <c r="AC176" s="48" t="str">
        <f t="shared" si="128"/>
        <v/>
      </c>
      <c r="AD176" s="48" t="str">
        <f t="shared" si="128"/>
        <v/>
      </c>
    </row>
    <row r="177" spans="1:30" ht="13.5" customHeight="1">
      <c r="A177" s="26"/>
      <c r="B177" s="26"/>
      <c r="C177" s="26"/>
      <c r="D177" s="49" t="str">
        <f t="shared" ref="D177:P177" si="129">IF(D176="","",IF(D176=$R176,1,IF(D176=$S176,2,IF(D176=$T176,3,IF(D176=$U176,4,IF(D176=$V176,5,IF(D176=$W176,6,IF(D176=$X176,7,IF(D176=$Y176,8,IF(D176=$Z176,9,IF(D176=$AA176,10,IF(D176=$AB176,11,IF(D176=$AC176,12,IF(D176=$AD176,13))))))))))))))</f>
        <v/>
      </c>
      <c r="E177" s="49" t="str">
        <f t="shared" si="129"/>
        <v/>
      </c>
      <c r="F177" s="49" t="str">
        <f t="shared" si="129"/>
        <v/>
      </c>
      <c r="G177" s="49" t="str">
        <f t="shared" si="129"/>
        <v/>
      </c>
      <c r="H177" s="49" t="str">
        <f t="shared" si="129"/>
        <v/>
      </c>
      <c r="I177" s="49" t="str">
        <f t="shared" si="129"/>
        <v/>
      </c>
      <c r="J177" s="49" t="str">
        <f t="shared" si="129"/>
        <v/>
      </c>
      <c r="K177" s="49" t="str">
        <f t="shared" si="129"/>
        <v/>
      </c>
      <c r="L177" s="49" t="str">
        <f t="shared" si="129"/>
        <v/>
      </c>
      <c r="M177" s="49" t="str">
        <f t="shared" si="129"/>
        <v/>
      </c>
      <c r="N177" s="49" t="str">
        <f t="shared" si="129"/>
        <v/>
      </c>
      <c r="O177" s="49" t="str">
        <f t="shared" si="129"/>
        <v/>
      </c>
      <c r="P177" s="49" t="str">
        <f t="shared" si="129"/>
        <v/>
      </c>
      <c r="Q177" s="43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</row>
    <row r="178" spans="1:30" ht="13.5" customHeight="1">
      <c r="A178" s="26"/>
      <c r="B178" s="26"/>
      <c r="C178" s="26"/>
      <c r="D178" s="48" t="str">
        <f>IF(Tracking!J142="","",IF(Person!$C$20="m",ABS((Tracking!J142/4-D$45)),ABS((Tracking!J142/4-D$48))))</f>
        <v/>
      </c>
      <c r="E178" s="48" t="str">
        <f>IF(Tracking!K142="","",IF(Person!$C$20="m",ABS((Tracking!K142/4-E$45)),ABS((Tracking!K142/4-E$48))))</f>
        <v/>
      </c>
      <c r="F178" s="48" t="str">
        <f>IF(Tracking!L142="","",IF(Person!$C$20="m",ABS((Tracking!L142/4-F$45)),ABS((Tracking!L142/4-F$48))))</f>
        <v/>
      </c>
      <c r="G178" s="48" t="str">
        <f>IF(Tracking!M142="","",IF(Person!$C$20="m",ABS((Tracking!M142/4-G$45)),ABS((Tracking!M142/4-G$48))))</f>
        <v/>
      </c>
      <c r="H178" s="48" t="str">
        <f>IF(Tracking!N142="","",IF(Person!$C$20="m",ABS((Tracking!N142/4-H$45)),ABS((Tracking!N142/4-H$48))))</f>
        <v/>
      </c>
      <c r="I178" s="48" t="str">
        <f>IF(Tracking!O142="","",IF(Person!$C$20="m",ABS((Tracking!O142/4-I$45)),ABS((Tracking!O142/4-I$48))))</f>
        <v/>
      </c>
      <c r="J178" s="48" t="str">
        <f>IF(Tracking!P142="","",IF(Person!$C$20="m",ABS((Tracking!P142/4-J$45)),ABS((Tracking!P142/4-J$48))))</f>
        <v/>
      </c>
      <c r="K178" s="48" t="str">
        <f>IF(Tracking!Q142="","",IF(Person!$C$20="m",ABS((Tracking!Q142/4-K$45)),ABS((Tracking!Q142/4-K$48))))</f>
        <v/>
      </c>
      <c r="L178" s="48" t="str">
        <f>IF(Tracking!R142="","",IF(Person!$C$20="m",ABS((Tracking!R142/4-L$45)),ABS((Tracking!R142/4-L$48))))</f>
        <v/>
      </c>
      <c r="M178" s="48" t="str">
        <f>IF(Tracking!S142="","",IF(Person!$C$20="m",ABS((Tracking!S142/4-M$45)),ABS((Tracking!S142/4-M$48))))</f>
        <v/>
      </c>
      <c r="N178" s="48" t="str">
        <f>IF(Tracking!T142="","",IF(Person!$C$20="m",ABS((Tracking!T142/4-N$45)),ABS((Tracking!T142/4-N$48))))</f>
        <v/>
      </c>
      <c r="O178" s="48" t="str">
        <f>IF(Tracking!U142="","",IF(Person!$C$20="m",ABS((Tracking!U142/4-O$45)),ABS((Tracking!U142/4-O$48))))</f>
        <v/>
      </c>
      <c r="P178" s="48" t="str">
        <f>IF(Tracking!V142="","",IF(Person!$C$20="m",ABS((Tracking!V142/4-P$45)),ABS((Tracking!V142/4-P$48))))</f>
        <v/>
      </c>
      <c r="Q178" s="43"/>
      <c r="R178" s="48" t="str">
        <f t="shared" ref="R178:AD178" si="130">IF(ISERROR(LARGE($D178:$P178,R$44)),"",LARGE($D178:$P178,R$44))</f>
        <v/>
      </c>
      <c r="S178" s="48" t="str">
        <f t="shared" si="130"/>
        <v/>
      </c>
      <c r="T178" s="48" t="str">
        <f t="shared" si="130"/>
        <v/>
      </c>
      <c r="U178" s="48" t="str">
        <f t="shared" si="130"/>
        <v/>
      </c>
      <c r="V178" s="48" t="str">
        <f t="shared" si="130"/>
        <v/>
      </c>
      <c r="W178" s="48" t="str">
        <f t="shared" si="130"/>
        <v/>
      </c>
      <c r="X178" s="48" t="str">
        <f t="shared" si="130"/>
        <v/>
      </c>
      <c r="Y178" s="48" t="str">
        <f t="shared" si="130"/>
        <v/>
      </c>
      <c r="Z178" s="48" t="str">
        <f t="shared" si="130"/>
        <v/>
      </c>
      <c r="AA178" s="48" t="str">
        <f t="shared" si="130"/>
        <v/>
      </c>
      <c r="AB178" s="48" t="str">
        <f t="shared" si="130"/>
        <v/>
      </c>
      <c r="AC178" s="48" t="str">
        <f t="shared" si="130"/>
        <v/>
      </c>
      <c r="AD178" s="48" t="str">
        <f t="shared" si="130"/>
        <v/>
      </c>
    </row>
    <row r="179" spans="1:30" ht="13.5" customHeight="1">
      <c r="A179" s="26"/>
      <c r="B179" s="26"/>
      <c r="C179" s="26"/>
      <c r="D179" s="49" t="str">
        <f t="shared" ref="D179:P179" si="131">IF(D178="","",IF(D178=$R178,1,IF(D178=$S178,2,IF(D178=$T178,3,IF(D178=$U178,4,IF(D178=$V178,5,IF(D178=$W178,6,IF(D178=$X178,7,IF(D178=$Y178,8,IF(D178=$Z178,9,IF(D178=$AA178,10,IF(D178=$AB178,11,IF(D178=$AC178,12,IF(D178=$AD178,13))))))))))))))</f>
        <v/>
      </c>
      <c r="E179" s="49" t="str">
        <f t="shared" si="131"/>
        <v/>
      </c>
      <c r="F179" s="49" t="str">
        <f t="shared" si="131"/>
        <v/>
      </c>
      <c r="G179" s="49" t="str">
        <f t="shared" si="131"/>
        <v/>
      </c>
      <c r="H179" s="49" t="str">
        <f t="shared" si="131"/>
        <v/>
      </c>
      <c r="I179" s="49" t="str">
        <f t="shared" si="131"/>
        <v/>
      </c>
      <c r="J179" s="49" t="str">
        <f t="shared" si="131"/>
        <v/>
      </c>
      <c r="K179" s="49" t="str">
        <f t="shared" si="131"/>
        <v/>
      </c>
      <c r="L179" s="49" t="str">
        <f t="shared" si="131"/>
        <v/>
      </c>
      <c r="M179" s="49" t="str">
        <f t="shared" si="131"/>
        <v/>
      </c>
      <c r="N179" s="49" t="str">
        <f t="shared" si="131"/>
        <v/>
      </c>
      <c r="O179" s="49" t="str">
        <f t="shared" si="131"/>
        <v/>
      </c>
      <c r="P179" s="49" t="str">
        <f t="shared" si="131"/>
        <v/>
      </c>
      <c r="Q179" s="43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</row>
    <row r="180" spans="1:30" ht="13.5" customHeight="1">
      <c r="A180" s="26"/>
      <c r="B180" s="26"/>
      <c r="C180" s="26"/>
      <c r="D180" s="48" t="str">
        <f>IF(Tracking!J144="","",IF(Person!$C$20="m",ABS((Tracking!J144/4-D$45)),ABS((Tracking!J144/4-D$48))))</f>
        <v/>
      </c>
      <c r="E180" s="48" t="str">
        <f>IF(Tracking!K144="","",IF(Person!$C$20="m",ABS((Tracking!K144/4-E$45)),ABS((Tracking!K144/4-E$48))))</f>
        <v/>
      </c>
      <c r="F180" s="48" t="str">
        <f>IF(Tracking!L144="","",IF(Person!$C$20="m",ABS((Tracking!L144/4-F$45)),ABS((Tracking!L144/4-F$48))))</f>
        <v/>
      </c>
      <c r="G180" s="48" t="str">
        <f>IF(Tracking!M144="","",IF(Person!$C$20="m",ABS((Tracking!M144/4-G$45)),ABS((Tracking!M144/4-G$48))))</f>
        <v/>
      </c>
      <c r="H180" s="48" t="str">
        <f>IF(Tracking!N144="","",IF(Person!$C$20="m",ABS((Tracking!N144/4-H$45)),ABS((Tracking!N144/4-H$48))))</f>
        <v/>
      </c>
      <c r="I180" s="48" t="str">
        <f>IF(Tracking!O144="","",IF(Person!$C$20="m",ABS((Tracking!O144/4-I$45)),ABS((Tracking!O144/4-I$48))))</f>
        <v/>
      </c>
      <c r="J180" s="48" t="str">
        <f>IF(Tracking!P144="","",IF(Person!$C$20="m",ABS((Tracking!P144/4-J$45)),ABS((Tracking!P144/4-J$48))))</f>
        <v/>
      </c>
      <c r="K180" s="48" t="str">
        <f>IF(Tracking!Q144="","",IF(Person!$C$20="m",ABS((Tracking!Q144/4-K$45)),ABS((Tracking!Q144/4-K$48))))</f>
        <v/>
      </c>
      <c r="L180" s="48" t="str">
        <f>IF(Tracking!R144="","",IF(Person!$C$20="m",ABS((Tracking!R144/4-L$45)),ABS((Tracking!R144/4-L$48))))</f>
        <v/>
      </c>
      <c r="M180" s="48" t="str">
        <f>IF(Tracking!S144="","",IF(Person!$C$20="m",ABS((Tracking!S144/4-M$45)),ABS((Tracking!S144/4-M$48))))</f>
        <v/>
      </c>
      <c r="N180" s="48" t="str">
        <f>IF(Tracking!T144="","",IF(Person!$C$20="m",ABS((Tracking!T144/4-N$45)),ABS((Tracking!T144/4-N$48))))</f>
        <v/>
      </c>
      <c r="O180" s="48" t="str">
        <f>IF(Tracking!U144="","",IF(Person!$C$20="m",ABS((Tracking!U144/4-O$45)),ABS((Tracking!U144/4-O$48))))</f>
        <v/>
      </c>
      <c r="P180" s="48" t="str">
        <f>IF(Tracking!V144="","",IF(Person!$C$20="m",ABS((Tracking!V144/4-P$45)),ABS((Tracking!V144/4-P$48))))</f>
        <v/>
      </c>
      <c r="Q180" s="43"/>
      <c r="R180" s="48" t="str">
        <f t="shared" ref="R180:AD180" si="132">IF(ISERROR(LARGE($D180:$P180,R$44)),"",LARGE($D180:$P180,R$44))</f>
        <v/>
      </c>
      <c r="S180" s="48" t="str">
        <f t="shared" si="132"/>
        <v/>
      </c>
      <c r="T180" s="48" t="str">
        <f t="shared" si="132"/>
        <v/>
      </c>
      <c r="U180" s="48" t="str">
        <f t="shared" si="132"/>
        <v/>
      </c>
      <c r="V180" s="48" t="str">
        <f t="shared" si="132"/>
        <v/>
      </c>
      <c r="W180" s="48" t="str">
        <f t="shared" si="132"/>
        <v/>
      </c>
      <c r="X180" s="48" t="str">
        <f t="shared" si="132"/>
        <v/>
      </c>
      <c r="Y180" s="48" t="str">
        <f t="shared" si="132"/>
        <v/>
      </c>
      <c r="Z180" s="48" t="str">
        <f t="shared" si="132"/>
        <v/>
      </c>
      <c r="AA180" s="48" t="str">
        <f t="shared" si="132"/>
        <v/>
      </c>
      <c r="AB180" s="48" t="str">
        <f t="shared" si="132"/>
        <v/>
      </c>
      <c r="AC180" s="48" t="str">
        <f t="shared" si="132"/>
        <v/>
      </c>
      <c r="AD180" s="48" t="str">
        <f t="shared" si="132"/>
        <v/>
      </c>
    </row>
    <row r="181" spans="1:30" ht="13.5" customHeight="1">
      <c r="A181" s="26"/>
      <c r="B181" s="26"/>
      <c r="C181" s="26"/>
      <c r="D181" s="49" t="str">
        <f t="shared" ref="D181:P181" si="133">IF(D180="","",IF(D180=$R180,1,IF(D180=$S180,2,IF(D180=$T180,3,IF(D180=$U180,4,IF(D180=$V180,5,IF(D180=$W180,6,IF(D180=$X180,7,IF(D180=$Y180,8,IF(D180=$Z180,9,IF(D180=$AA180,10,IF(D180=$AB180,11,IF(D180=$AC180,12,IF(D180=$AD180,13))))))))))))))</f>
        <v/>
      </c>
      <c r="E181" s="49" t="str">
        <f t="shared" si="133"/>
        <v/>
      </c>
      <c r="F181" s="49" t="str">
        <f t="shared" si="133"/>
        <v/>
      </c>
      <c r="G181" s="49" t="str">
        <f t="shared" si="133"/>
        <v/>
      </c>
      <c r="H181" s="49" t="str">
        <f t="shared" si="133"/>
        <v/>
      </c>
      <c r="I181" s="49" t="str">
        <f t="shared" si="133"/>
        <v/>
      </c>
      <c r="J181" s="49" t="str">
        <f t="shared" si="133"/>
        <v/>
      </c>
      <c r="K181" s="49" t="str">
        <f t="shared" si="133"/>
        <v/>
      </c>
      <c r="L181" s="49" t="str">
        <f t="shared" si="133"/>
        <v/>
      </c>
      <c r="M181" s="49" t="str">
        <f t="shared" si="133"/>
        <v/>
      </c>
      <c r="N181" s="49" t="str">
        <f t="shared" si="133"/>
        <v/>
      </c>
      <c r="O181" s="49" t="str">
        <f t="shared" si="133"/>
        <v/>
      </c>
      <c r="P181" s="49" t="str">
        <f t="shared" si="133"/>
        <v/>
      </c>
      <c r="Q181" s="43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</row>
    <row r="182" spans="1:30" ht="13.5" customHeight="1">
      <c r="A182" s="26"/>
      <c r="B182" s="26"/>
      <c r="C182" s="26"/>
      <c r="D182" s="48" t="str">
        <f>IF(Tracking!J146="","",IF(Person!$C$20="m",ABS((Tracking!J146/4-D$45)),ABS((Tracking!J146/4-D$48))))</f>
        <v/>
      </c>
      <c r="E182" s="48" t="str">
        <f>IF(Tracking!K146="","",IF(Person!$C$20="m",ABS((Tracking!K146/4-E$45)),ABS((Tracking!K146/4-E$48))))</f>
        <v/>
      </c>
      <c r="F182" s="48" t="str">
        <f>IF(Tracking!L146="","",IF(Person!$C$20="m",ABS((Tracking!L146/4-F$45)),ABS((Tracking!L146/4-F$48))))</f>
        <v/>
      </c>
      <c r="G182" s="48" t="str">
        <f>IF(Tracking!M146="","",IF(Person!$C$20="m",ABS((Tracking!M146/4-G$45)),ABS((Tracking!M146/4-G$48))))</f>
        <v/>
      </c>
      <c r="H182" s="48" t="str">
        <f>IF(Tracking!N146="","",IF(Person!$C$20="m",ABS((Tracking!N146/4-H$45)),ABS((Tracking!N146/4-H$48))))</f>
        <v/>
      </c>
      <c r="I182" s="48" t="str">
        <f>IF(Tracking!O146="","",IF(Person!$C$20="m",ABS((Tracking!O146/4-I$45)),ABS((Tracking!O146/4-I$48))))</f>
        <v/>
      </c>
      <c r="J182" s="48" t="str">
        <f>IF(Tracking!P146="","",IF(Person!$C$20="m",ABS((Tracking!P146/4-J$45)),ABS((Tracking!P146/4-J$48))))</f>
        <v/>
      </c>
      <c r="K182" s="48" t="str">
        <f>IF(Tracking!Q146="","",IF(Person!$C$20="m",ABS((Tracking!Q146/4-K$45)),ABS((Tracking!Q146/4-K$48))))</f>
        <v/>
      </c>
      <c r="L182" s="48" t="str">
        <f>IF(Tracking!R146="","",IF(Person!$C$20="m",ABS((Tracking!R146/4-L$45)),ABS((Tracking!R146/4-L$48))))</f>
        <v/>
      </c>
      <c r="M182" s="48" t="str">
        <f>IF(Tracking!S146="","",IF(Person!$C$20="m",ABS((Tracking!S146/4-M$45)),ABS((Tracking!S146/4-M$48))))</f>
        <v/>
      </c>
      <c r="N182" s="48" t="str">
        <f>IF(Tracking!T146="","",IF(Person!$C$20="m",ABS((Tracking!T146/4-N$45)),ABS((Tracking!T146/4-N$48))))</f>
        <v/>
      </c>
      <c r="O182" s="48" t="str">
        <f>IF(Tracking!U146="","",IF(Person!$C$20="m",ABS((Tracking!U146/4-O$45)),ABS((Tracking!U146/4-O$48))))</f>
        <v/>
      </c>
      <c r="P182" s="48" t="str">
        <f>IF(Tracking!V146="","",IF(Person!$C$20="m",ABS((Tracking!V146/4-P$45)),ABS((Tracking!V146/4-P$48))))</f>
        <v/>
      </c>
      <c r="Q182" s="43"/>
      <c r="R182" s="48" t="str">
        <f t="shared" ref="R182:AD182" si="134">IF(ISERROR(LARGE($D182:$P182,R$44)),"",LARGE($D182:$P182,R$44))</f>
        <v/>
      </c>
      <c r="S182" s="48" t="str">
        <f t="shared" si="134"/>
        <v/>
      </c>
      <c r="T182" s="48" t="str">
        <f t="shared" si="134"/>
        <v/>
      </c>
      <c r="U182" s="48" t="str">
        <f t="shared" si="134"/>
        <v/>
      </c>
      <c r="V182" s="48" t="str">
        <f t="shared" si="134"/>
        <v/>
      </c>
      <c r="W182" s="48" t="str">
        <f t="shared" si="134"/>
        <v/>
      </c>
      <c r="X182" s="48" t="str">
        <f t="shared" si="134"/>
        <v/>
      </c>
      <c r="Y182" s="48" t="str">
        <f t="shared" si="134"/>
        <v/>
      </c>
      <c r="Z182" s="48" t="str">
        <f t="shared" si="134"/>
        <v/>
      </c>
      <c r="AA182" s="48" t="str">
        <f t="shared" si="134"/>
        <v/>
      </c>
      <c r="AB182" s="48" t="str">
        <f t="shared" si="134"/>
        <v/>
      </c>
      <c r="AC182" s="48" t="str">
        <f t="shared" si="134"/>
        <v/>
      </c>
      <c r="AD182" s="48" t="str">
        <f t="shared" si="134"/>
        <v/>
      </c>
    </row>
    <row r="183" spans="1:30" ht="13.5" customHeight="1">
      <c r="A183" s="26"/>
      <c r="B183" s="26"/>
      <c r="C183" s="26"/>
      <c r="D183" s="49" t="str">
        <f t="shared" ref="D183:P183" si="135">IF(D182="","",IF(D182=$R182,1,IF(D182=$S182,2,IF(D182=$T182,3,IF(D182=$U182,4,IF(D182=$V182,5,IF(D182=$W182,6,IF(D182=$X182,7,IF(D182=$Y182,8,IF(D182=$Z182,9,IF(D182=$AA182,10,IF(D182=$AB182,11,IF(D182=$AC182,12,IF(D182=$AD182,13))))))))))))))</f>
        <v/>
      </c>
      <c r="E183" s="49" t="str">
        <f t="shared" si="135"/>
        <v/>
      </c>
      <c r="F183" s="49" t="str">
        <f t="shared" si="135"/>
        <v/>
      </c>
      <c r="G183" s="49" t="str">
        <f t="shared" si="135"/>
        <v/>
      </c>
      <c r="H183" s="49" t="str">
        <f t="shared" si="135"/>
        <v/>
      </c>
      <c r="I183" s="49" t="str">
        <f t="shared" si="135"/>
        <v/>
      </c>
      <c r="J183" s="49" t="str">
        <f t="shared" si="135"/>
        <v/>
      </c>
      <c r="K183" s="49" t="str">
        <f t="shared" si="135"/>
        <v/>
      </c>
      <c r="L183" s="49" t="str">
        <f t="shared" si="135"/>
        <v/>
      </c>
      <c r="M183" s="49" t="str">
        <f t="shared" si="135"/>
        <v/>
      </c>
      <c r="N183" s="49" t="str">
        <f t="shared" si="135"/>
        <v/>
      </c>
      <c r="O183" s="49" t="str">
        <f t="shared" si="135"/>
        <v/>
      </c>
      <c r="P183" s="49" t="str">
        <f t="shared" si="135"/>
        <v/>
      </c>
      <c r="Q183" s="43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</row>
    <row r="184" spans="1:30" ht="13.5" customHeight="1">
      <c r="A184" s="26"/>
      <c r="B184" s="26"/>
      <c r="C184" s="26"/>
      <c r="D184" s="48" t="str">
        <f>IF(Tracking!J148="","",IF(Person!$C$20="m",ABS((Tracking!J148/4-D$45)),ABS((Tracking!J148/4-D$48))))</f>
        <v/>
      </c>
      <c r="E184" s="48" t="str">
        <f>IF(Tracking!K148="","",IF(Person!$C$20="m",ABS((Tracking!K148/4-E$45)),ABS((Tracking!K148/4-E$48))))</f>
        <v/>
      </c>
      <c r="F184" s="48" t="str">
        <f>IF(Tracking!L148="","",IF(Person!$C$20="m",ABS((Tracking!L148/4-F$45)),ABS((Tracking!L148/4-F$48))))</f>
        <v/>
      </c>
      <c r="G184" s="48" t="str">
        <f>IF(Tracking!M148="","",IF(Person!$C$20="m",ABS((Tracking!M148/4-G$45)),ABS((Tracking!M148/4-G$48))))</f>
        <v/>
      </c>
      <c r="H184" s="48" t="str">
        <f>IF(Tracking!N148="","",IF(Person!$C$20="m",ABS((Tracking!N148/4-H$45)),ABS((Tracking!N148/4-H$48))))</f>
        <v/>
      </c>
      <c r="I184" s="48" t="str">
        <f>IF(Tracking!O148="","",IF(Person!$C$20="m",ABS((Tracking!O148/4-I$45)),ABS((Tracking!O148/4-I$48))))</f>
        <v/>
      </c>
      <c r="J184" s="48" t="str">
        <f>IF(Tracking!P148="","",IF(Person!$C$20="m",ABS((Tracking!P148/4-J$45)),ABS((Tracking!P148/4-J$48))))</f>
        <v/>
      </c>
      <c r="K184" s="48" t="str">
        <f>IF(Tracking!Q148="","",IF(Person!$C$20="m",ABS((Tracking!Q148/4-K$45)),ABS((Tracking!Q148/4-K$48))))</f>
        <v/>
      </c>
      <c r="L184" s="48" t="str">
        <f>IF(Tracking!R148="","",IF(Person!$C$20="m",ABS((Tracking!R148/4-L$45)),ABS((Tracking!R148/4-L$48))))</f>
        <v/>
      </c>
      <c r="M184" s="48" t="str">
        <f>IF(Tracking!S148="","",IF(Person!$C$20="m",ABS((Tracking!S148/4-M$45)),ABS((Tracking!S148/4-M$48))))</f>
        <v/>
      </c>
      <c r="N184" s="48" t="str">
        <f>IF(Tracking!T148="","",IF(Person!$C$20="m",ABS((Tracking!T148/4-N$45)),ABS((Tracking!T148/4-N$48))))</f>
        <v/>
      </c>
      <c r="O184" s="48" t="str">
        <f>IF(Tracking!U148="","",IF(Person!$C$20="m",ABS((Tracking!U148/4-O$45)),ABS((Tracking!U148/4-O$48))))</f>
        <v/>
      </c>
      <c r="P184" s="48" t="str">
        <f>IF(Tracking!V148="","",IF(Person!$C$20="m",ABS((Tracking!V148/4-P$45)),ABS((Tracking!V148/4-P$48))))</f>
        <v/>
      </c>
      <c r="Q184" s="43"/>
      <c r="R184" s="48" t="str">
        <f t="shared" ref="R184:AD184" si="136">IF(ISERROR(LARGE($D184:$P184,R$44)),"",LARGE($D184:$P184,R$44))</f>
        <v/>
      </c>
      <c r="S184" s="48" t="str">
        <f t="shared" si="136"/>
        <v/>
      </c>
      <c r="T184" s="48" t="str">
        <f t="shared" si="136"/>
        <v/>
      </c>
      <c r="U184" s="48" t="str">
        <f t="shared" si="136"/>
        <v/>
      </c>
      <c r="V184" s="48" t="str">
        <f t="shared" si="136"/>
        <v/>
      </c>
      <c r="W184" s="48" t="str">
        <f t="shared" si="136"/>
        <v/>
      </c>
      <c r="X184" s="48" t="str">
        <f t="shared" si="136"/>
        <v/>
      </c>
      <c r="Y184" s="48" t="str">
        <f t="shared" si="136"/>
        <v/>
      </c>
      <c r="Z184" s="48" t="str">
        <f t="shared" si="136"/>
        <v/>
      </c>
      <c r="AA184" s="48" t="str">
        <f t="shared" si="136"/>
        <v/>
      </c>
      <c r="AB184" s="48" t="str">
        <f t="shared" si="136"/>
        <v/>
      </c>
      <c r="AC184" s="48" t="str">
        <f t="shared" si="136"/>
        <v/>
      </c>
      <c r="AD184" s="48" t="str">
        <f t="shared" si="136"/>
        <v/>
      </c>
    </row>
    <row r="185" spans="1:30" ht="13.5" customHeight="1">
      <c r="A185" s="26"/>
      <c r="B185" s="26"/>
      <c r="C185" s="26"/>
      <c r="D185" s="49" t="str">
        <f t="shared" ref="D185:P185" si="137">IF(D184="","",IF(D184=$R184,1,IF(D184=$S184,2,IF(D184=$T184,3,IF(D184=$U184,4,IF(D184=$V184,5,IF(D184=$W184,6,IF(D184=$X184,7,IF(D184=$Y184,8,IF(D184=$Z184,9,IF(D184=$AA184,10,IF(D184=$AB184,11,IF(D184=$AC184,12,IF(D184=$AD184,13))))))))))))))</f>
        <v/>
      </c>
      <c r="E185" s="49" t="str">
        <f t="shared" si="137"/>
        <v/>
      </c>
      <c r="F185" s="49" t="str">
        <f t="shared" si="137"/>
        <v/>
      </c>
      <c r="G185" s="49" t="str">
        <f t="shared" si="137"/>
        <v/>
      </c>
      <c r="H185" s="49" t="str">
        <f t="shared" si="137"/>
        <v/>
      </c>
      <c r="I185" s="49" t="str">
        <f t="shared" si="137"/>
        <v/>
      </c>
      <c r="J185" s="49" t="str">
        <f t="shared" si="137"/>
        <v/>
      </c>
      <c r="K185" s="49" t="str">
        <f t="shared" si="137"/>
        <v/>
      </c>
      <c r="L185" s="49" t="str">
        <f t="shared" si="137"/>
        <v/>
      </c>
      <c r="M185" s="49" t="str">
        <f t="shared" si="137"/>
        <v/>
      </c>
      <c r="N185" s="49" t="str">
        <f t="shared" si="137"/>
        <v/>
      </c>
      <c r="O185" s="49" t="str">
        <f t="shared" si="137"/>
        <v/>
      </c>
      <c r="P185" s="49" t="str">
        <f t="shared" si="137"/>
        <v/>
      </c>
      <c r="Q185" s="43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</row>
    <row r="186" spans="1:30" ht="13.5" customHeight="1">
      <c r="A186" s="26"/>
      <c r="B186" s="26"/>
      <c r="C186" s="26"/>
      <c r="D186" s="48" t="str">
        <f>IF(Tracking!J150="","",IF(Person!$C$20="m",ABS((Tracking!J150/4-D$45)),ABS((Tracking!J150/4-D$48))))</f>
        <v/>
      </c>
      <c r="E186" s="48" t="str">
        <f>IF(Tracking!K150="","",IF(Person!$C$20="m",ABS((Tracking!K150/4-E$45)),ABS((Tracking!K150/4-E$48))))</f>
        <v/>
      </c>
      <c r="F186" s="48" t="str">
        <f>IF(Tracking!L150="","",IF(Person!$C$20="m",ABS((Tracking!L150/4-F$45)),ABS((Tracking!L150/4-F$48))))</f>
        <v/>
      </c>
      <c r="G186" s="48" t="str">
        <f>IF(Tracking!M150="","",IF(Person!$C$20="m",ABS((Tracking!M150/4-G$45)),ABS((Tracking!M150/4-G$48))))</f>
        <v/>
      </c>
      <c r="H186" s="48" t="str">
        <f>IF(Tracking!N150="","",IF(Person!$C$20="m",ABS((Tracking!N150/4-H$45)),ABS((Tracking!N150/4-H$48))))</f>
        <v/>
      </c>
      <c r="I186" s="48" t="str">
        <f>IF(Tracking!O150="","",IF(Person!$C$20="m",ABS((Tracking!O150/4-I$45)),ABS((Tracking!O150/4-I$48))))</f>
        <v/>
      </c>
      <c r="J186" s="48" t="str">
        <f>IF(Tracking!P150="","",IF(Person!$C$20="m",ABS((Tracking!P150/4-J$45)),ABS((Tracking!P150/4-J$48))))</f>
        <v/>
      </c>
      <c r="K186" s="48" t="str">
        <f>IF(Tracking!Q150="","",IF(Person!$C$20="m",ABS((Tracking!Q150/4-K$45)),ABS((Tracking!Q150/4-K$48))))</f>
        <v/>
      </c>
      <c r="L186" s="48" t="str">
        <f>IF(Tracking!R150="","",IF(Person!$C$20="m",ABS((Tracking!R150/4-L$45)),ABS((Tracking!R150/4-L$48))))</f>
        <v/>
      </c>
      <c r="M186" s="48" t="str">
        <f>IF(Tracking!S150="","",IF(Person!$C$20="m",ABS((Tracking!S150/4-M$45)),ABS((Tracking!S150/4-M$48))))</f>
        <v/>
      </c>
      <c r="N186" s="48" t="str">
        <f>IF(Tracking!T150="","",IF(Person!$C$20="m",ABS((Tracking!T150/4-N$45)),ABS((Tracking!T150/4-N$48))))</f>
        <v/>
      </c>
      <c r="O186" s="48" t="str">
        <f>IF(Tracking!U150="","",IF(Person!$C$20="m",ABS((Tracking!U150/4-O$45)),ABS((Tracking!U150/4-O$48))))</f>
        <v/>
      </c>
      <c r="P186" s="48" t="str">
        <f>IF(Tracking!V150="","",IF(Person!$C$20="m",ABS((Tracking!V150/4-P$45)),ABS((Tracking!V150/4-P$48))))</f>
        <v/>
      </c>
      <c r="Q186" s="43"/>
      <c r="R186" s="48" t="str">
        <f t="shared" ref="R186:AD186" si="138">IF(ISERROR(LARGE($D186:$P186,R$44)),"",LARGE($D186:$P186,R$44))</f>
        <v/>
      </c>
      <c r="S186" s="48" t="str">
        <f t="shared" si="138"/>
        <v/>
      </c>
      <c r="T186" s="48" t="str">
        <f t="shared" si="138"/>
        <v/>
      </c>
      <c r="U186" s="48" t="str">
        <f t="shared" si="138"/>
        <v/>
      </c>
      <c r="V186" s="48" t="str">
        <f t="shared" si="138"/>
        <v/>
      </c>
      <c r="W186" s="48" t="str">
        <f t="shared" si="138"/>
        <v/>
      </c>
      <c r="X186" s="48" t="str">
        <f t="shared" si="138"/>
        <v/>
      </c>
      <c r="Y186" s="48" t="str">
        <f t="shared" si="138"/>
        <v/>
      </c>
      <c r="Z186" s="48" t="str">
        <f t="shared" si="138"/>
        <v/>
      </c>
      <c r="AA186" s="48" t="str">
        <f t="shared" si="138"/>
        <v/>
      </c>
      <c r="AB186" s="48" t="str">
        <f t="shared" si="138"/>
        <v/>
      </c>
      <c r="AC186" s="48" t="str">
        <f t="shared" si="138"/>
        <v/>
      </c>
      <c r="AD186" s="48" t="str">
        <f t="shared" si="138"/>
        <v/>
      </c>
    </row>
    <row r="187" spans="1:30" ht="13.5" customHeight="1">
      <c r="A187" s="26"/>
      <c r="B187" s="26"/>
      <c r="C187" s="26"/>
      <c r="D187" s="49" t="str">
        <f t="shared" ref="D187:P187" si="139">IF(D186="","",IF(D186=$R186,1,IF(D186=$S186,2,IF(D186=$T186,3,IF(D186=$U186,4,IF(D186=$V186,5,IF(D186=$W186,6,IF(D186=$X186,7,IF(D186=$Y186,8,IF(D186=$Z186,9,IF(D186=$AA186,10,IF(D186=$AB186,11,IF(D186=$AC186,12,IF(D186=$AD186,13))))))))))))))</f>
        <v/>
      </c>
      <c r="E187" s="49" t="str">
        <f t="shared" si="139"/>
        <v/>
      </c>
      <c r="F187" s="49" t="str">
        <f t="shared" si="139"/>
        <v/>
      </c>
      <c r="G187" s="49" t="str">
        <f t="shared" si="139"/>
        <v/>
      </c>
      <c r="H187" s="49" t="str">
        <f t="shared" si="139"/>
        <v/>
      </c>
      <c r="I187" s="49" t="str">
        <f t="shared" si="139"/>
        <v/>
      </c>
      <c r="J187" s="49" t="str">
        <f t="shared" si="139"/>
        <v/>
      </c>
      <c r="K187" s="49" t="str">
        <f t="shared" si="139"/>
        <v/>
      </c>
      <c r="L187" s="49" t="str">
        <f t="shared" si="139"/>
        <v/>
      </c>
      <c r="M187" s="49" t="str">
        <f t="shared" si="139"/>
        <v/>
      </c>
      <c r="N187" s="49" t="str">
        <f t="shared" si="139"/>
        <v/>
      </c>
      <c r="O187" s="49" t="str">
        <f t="shared" si="139"/>
        <v/>
      </c>
      <c r="P187" s="49" t="str">
        <f t="shared" si="139"/>
        <v/>
      </c>
      <c r="Q187" s="43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</row>
    <row r="188" spans="1:30" ht="13.5" customHeight="1">
      <c r="A188" s="26"/>
      <c r="B188" s="26"/>
      <c r="C188" s="26"/>
      <c r="D188" s="48" t="str">
        <f>IF(Tracking!J152="","",IF(Person!$C$20="m",ABS((Tracking!J152/4-D$45)),ABS((Tracking!J152/4-D$48))))</f>
        <v/>
      </c>
      <c r="E188" s="48" t="str">
        <f>IF(Tracking!K152="","",IF(Person!$C$20="m",ABS((Tracking!K152/4-E$45)),ABS((Tracking!K152/4-E$48))))</f>
        <v/>
      </c>
      <c r="F188" s="48" t="str">
        <f>IF(Tracking!L152="","",IF(Person!$C$20="m",ABS((Tracking!L152/4-F$45)),ABS((Tracking!L152/4-F$48))))</f>
        <v/>
      </c>
      <c r="G188" s="48" t="str">
        <f>IF(Tracking!M152="","",IF(Person!$C$20="m",ABS((Tracking!M152/4-G$45)),ABS((Tracking!M152/4-G$48))))</f>
        <v/>
      </c>
      <c r="H188" s="48" t="str">
        <f>IF(Tracking!N152="","",IF(Person!$C$20="m",ABS((Tracking!N152/4-H$45)),ABS((Tracking!N152/4-H$48))))</f>
        <v/>
      </c>
      <c r="I188" s="48" t="str">
        <f>IF(Tracking!O152="","",IF(Person!$C$20="m",ABS((Tracking!O152/4-I$45)),ABS((Tracking!O152/4-I$48))))</f>
        <v/>
      </c>
      <c r="J188" s="48" t="str">
        <f>IF(Tracking!P152="","",IF(Person!$C$20="m",ABS((Tracking!P152/4-J$45)),ABS((Tracking!P152/4-J$48))))</f>
        <v/>
      </c>
      <c r="K188" s="48" t="str">
        <f>IF(Tracking!Q152="","",IF(Person!$C$20="m",ABS((Tracking!Q152/4-K$45)),ABS((Tracking!Q152/4-K$48))))</f>
        <v/>
      </c>
      <c r="L188" s="48" t="str">
        <f>IF(Tracking!R152="","",IF(Person!$C$20="m",ABS((Tracking!R152/4-L$45)),ABS((Tracking!R152/4-L$48))))</f>
        <v/>
      </c>
      <c r="M188" s="48" t="str">
        <f>IF(Tracking!S152="","",IF(Person!$C$20="m",ABS((Tracking!S152/4-M$45)),ABS((Tracking!S152/4-M$48))))</f>
        <v/>
      </c>
      <c r="N188" s="48" t="str">
        <f>IF(Tracking!T152="","",IF(Person!$C$20="m",ABS((Tracking!T152/4-N$45)),ABS((Tracking!T152/4-N$48))))</f>
        <v/>
      </c>
      <c r="O188" s="48" t="str">
        <f>IF(Tracking!U152="","",IF(Person!$C$20="m",ABS((Tracking!U152/4-O$45)),ABS((Tracking!U152/4-O$48))))</f>
        <v/>
      </c>
      <c r="P188" s="48" t="str">
        <f>IF(Tracking!V152="","",IF(Person!$C$20="m",ABS((Tracking!V152/4-P$45)),ABS((Tracking!V152/4-P$48))))</f>
        <v/>
      </c>
      <c r="Q188" s="43"/>
      <c r="R188" s="48" t="str">
        <f t="shared" ref="R188:AD188" si="140">IF(ISERROR(LARGE($D188:$P188,R$44)),"",LARGE($D188:$P188,R$44))</f>
        <v/>
      </c>
      <c r="S188" s="48" t="str">
        <f t="shared" si="140"/>
        <v/>
      </c>
      <c r="T188" s="48" t="str">
        <f t="shared" si="140"/>
        <v/>
      </c>
      <c r="U188" s="48" t="str">
        <f t="shared" si="140"/>
        <v/>
      </c>
      <c r="V188" s="48" t="str">
        <f t="shared" si="140"/>
        <v/>
      </c>
      <c r="W188" s="48" t="str">
        <f t="shared" si="140"/>
        <v/>
      </c>
      <c r="X188" s="48" t="str">
        <f t="shared" si="140"/>
        <v/>
      </c>
      <c r="Y188" s="48" t="str">
        <f t="shared" si="140"/>
        <v/>
      </c>
      <c r="Z188" s="48" t="str">
        <f t="shared" si="140"/>
        <v/>
      </c>
      <c r="AA188" s="48" t="str">
        <f t="shared" si="140"/>
        <v/>
      </c>
      <c r="AB188" s="48" t="str">
        <f t="shared" si="140"/>
        <v/>
      </c>
      <c r="AC188" s="48" t="str">
        <f t="shared" si="140"/>
        <v/>
      </c>
      <c r="AD188" s="48" t="str">
        <f t="shared" si="140"/>
        <v/>
      </c>
    </row>
    <row r="189" spans="1:30" ht="13.5" customHeight="1">
      <c r="A189" s="26"/>
      <c r="B189" s="26"/>
      <c r="C189" s="26"/>
      <c r="D189" s="49" t="str">
        <f t="shared" ref="D189:P189" si="141">IF(D188="","",IF(D188=$R188,1,IF(D188=$S188,2,IF(D188=$T188,3,IF(D188=$U188,4,IF(D188=$V188,5,IF(D188=$W188,6,IF(D188=$X188,7,IF(D188=$Y188,8,IF(D188=$Z188,9,IF(D188=$AA188,10,IF(D188=$AB188,11,IF(D188=$AC188,12,IF(D188=$AD188,13))))))))))))))</f>
        <v/>
      </c>
      <c r="E189" s="49" t="str">
        <f t="shared" si="141"/>
        <v/>
      </c>
      <c r="F189" s="49" t="str">
        <f t="shared" si="141"/>
        <v/>
      </c>
      <c r="G189" s="49" t="str">
        <f t="shared" si="141"/>
        <v/>
      </c>
      <c r="H189" s="49" t="str">
        <f t="shared" si="141"/>
        <v/>
      </c>
      <c r="I189" s="49" t="str">
        <f t="shared" si="141"/>
        <v/>
      </c>
      <c r="J189" s="49" t="str">
        <f t="shared" si="141"/>
        <v/>
      </c>
      <c r="K189" s="49" t="str">
        <f t="shared" si="141"/>
        <v/>
      </c>
      <c r="L189" s="49" t="str">
        <f t="shared" si="141"/>
        <v/>
      </c>
      <c r="M189" s="49" t="str">
        <f t="shared" si="141"/>
        <v/>
      </c>
      <c r="N189" s="49" t="str">
        <f t="shared" si="141"/>
        <v/>
      </c>
      <c r="O189" s="49" t="str">
        <f t="shared" si="141"/>
        <v/>
      </c>
      <c r="P189" s="49" t="str">
        <f t="shared" si="141"/>
        <v/>
      </c>
      <c r="Q189" s="43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</row>
    <row r="190" spans="1:30" ht="13.5" customHeight="1">
      <c r="A190" s="26"/>
      <c r="B190" s="26"/>
      <c r="C190" s="26"/>
      <c r="D190" s="48" t="str">
        <f>IF(Tracking!J154="","",IF(Person!$C$20="m",ABS((Tracking!J154/4-D$45)),ABS((Tracking!J154/4-D$48))))</f>
        <v/>
      </c>
      <c r="E190" s="48" t="str">
        <f>IF(Tracking!K154="","",IF(Person!$C$20="m",ABS((Tracking!K154/4-E$45)),ABS((Tracking!K154/4-E$48))))</f>
        <v/>
      </c>
      <c r="F190" s="48" t="str">
        <f>IF(Tracking!L154="","",IF(Person!$C$20="m",ABS((Tracking!L154/4-F$45)),ABS((Tracking!L154/4-F$48))))</f>
        <v/>
      </c>
      <c r="G190" s="48" t="str">
        <f>IF(Tracking!M154="","",IF(Person!$C$20="m",ABS((Tracking!M154/4-G$45)),ABS((Tracking!M154/4-G$48))))</f>
        <v/>
      </c>
      <c r="H190" s="48" t="str">
        <f>IF(Tracking!N154="","",IF(Person!$C$20="m",ABS((Tracking!N154/4-H$45)),ABS((Tracking!N154/4-H$48))))</f>
        <v/>
      </c>
      <c r="I190" s="48" t="str">
        <f>IF(Tracking!O154="","",IF(Person!$C$20="m",ABS((Tracking!O154/4-I$45)),ABS((Tracking!O154/4-I$48))))</f>
        <v/>
      </c>
      <c r="J190" s="48" t="str">
        <f>IF(Tracking!P154="","",IF(Person!$C$20="m",ABS((Tracking!P154/4-J$45)),ABS((Tracking!P154/4-J$48))))</f>
        <v/>
      </c>
      <c r="K190" s="48" t="str">
        <f>IF(Tracking!Q154="","",IF(Person!$C$20="m",ABS((Tracking!Q154/4-K$45)),ABS((Tracking!Q154/4-K$48))))</f>
        <v/>
      </c>
      <c r="L190" s="48" t="str">
        <f>IF(Tracking!R154="","",IF(Person!$C$20="m",ABS((Tracking!R154/4-L$45)),ABS((Tracking!R154/4-L$48))))</f>
        <v/>
      </c>
      <c r="M190" s="48" t="str">
        <f>IF(Tracking!S154="","",IF(Person!$C$20="m",ABS((Tracking!S154/4-M$45)),ABS((Tracking!S154/4-M$48))))</f>
        <v/>
      </c>
      <c r="N190" s="48" t="str">
        <f>IF(Tracking!T154="","",IF(Person!$C$20="m",ABS((Tracking!T154/4-N$45)),ABS((Tracking!T154/4-N$48))))</f>
        <v/>
      </c>
      <c r="O190" s="48" t="str">
        <f>IF(Tracking!U154="","",IF(Person!$C$20="m",ABS((Tracking!U154/4-O$45)),ABS((Tracking!U154/4-O$48))))</f>
        <v/>
      </c>
      <c r="P190" s="48" t="str">
        <f>IF(Tracking!V154="","",IF(Person!$C$20="m",ABS((Tracking!V154/4-P$45)),ABS((Tracking!V154/4-P$48))))</f>
        <v/>
      </c>
      <c r="Q190" s="43"/>
      <c r="R190" s="48" t="str">
        <f t="shared" ref="R190:AD190" si="142">IF(ISERROR(LARGE($D190:$P190,R$44)),"",LARGE($D190:$P190,R$44))</f>
        <v/>
      </c>
      <c r="S190" s="48" t="str">
        <f t="shared" si="142"/>
        <v/>
      </c>
      <c r="T190" s="48" t="str">
        <f t="shared" si="142"/>
        <v/>
      </c>
      <c r="U190" s="48" t="str">
        <f t="shared" si="142"/>
        <v/>
      </c>
      <c r="V190" s="48" t="str">
        <f t="shared" si="142"/>
        <v/>
      </c>
      <c r="W190" s="48" t="str">
        <f t="shared" si="142"/>
        <v/>
      </c>
      <c r="X190" s="48" t="str">
        <f t="shared" si="142"/>
        <v/>
      </c>
      <c r="Y190" s="48" t="str">
        <f t="shared" si="142"/>
        <v/>
      </c>
      <c r="Z190" s="48" t="str">
        <f t="shared" si="142"/>
        <v/>
      </c>
      <c r="AA190" s="48" t="str">
        <f t="shared" si="142"/>
        <v/>
      </c>
      <c r="AB190" s="48" t="str">
        <f t="shared" si="142"/>
        <v/>
      </c>
      <c r="AC190" s="48" t="str">
        <f t="shared" si="142"/>
        <v/>
      </c>
      <c r="AD190" s="48" t="str">
        <f t="shared" si="142"/>
        <v/>
      </c>
    </row>
    <row r="191" spans="1:30" ht="13.5" customHeight="1">
      <c r="A191" s="26"/>
      <c r="B191" s="26"/>
      <c r="C191" s="26"/>
      <c r="D191" s="49" t="str">
        <f t="shared" ref="D191:P191" si="143">IF(D190="","",IF(D190=$R190,1,IF(D190=$S190,2,IF(D190=$T190,3,IF(D190=$U190,4,IF(D190=$V190,5,IF(D190=$W190,6,IF(D190=$X190,7,IF(D190=$Y190,8,IF(D190=$Z190,9,IF(D190=$AA190,10,IF(D190=$AB190,11,IF(D190=$AC190,12,IF(D190=$AD190,13))))))))))))))</f>
        <v/>
      </c>
      <c r="E191" s="49" t="str">
        <f t="shared" si="143"/>
        <v/>
      </c>
      <c r="F191" s="49" t="str">
        <f t="shared" si="143"/>
        <v/>
      </c>
      <c r="G191" s="49" t="str">
        <f t="shared" si="143"/>
        <v/>
      </c>
      <c r="H191" s="49" t="str">
        <f t="shared" si="143"/>
        <v/>
      </c>
      <c r="I191" s="49" t="str">
        <f t="shared" si="143"/>
        <v/>
      </c>
      <c r="J191" s="49" t="str">
        <f t="shared" si="143"/>
        <v/>
      </c>
      <c r="K191" s="49" t="str">
        <f t="shared" si="143"/>
        <v/>
      </c>
      <c r="L191" s="49" t="str">
        <f t="shared" si="143"/>
        <v/>
      </c>
      <c r="M191" s="49" t="str">
        <f t="shared" si="143"/>
        <v/>
      </c>
      <c r="N191" s="49" t="str">
        <f t="shared" si="143"/>
        <v/>
      </c>
      <c r="O191" s="49" t="str">
        <f t="shared" si="143"/>
        <v/>
      </c>
      <c r="P191" s="49" t="str">
        <f t="shared" si="143"/>
        <v/>
      </c>
      <c r="Q191" s="43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</row>
    <row r="192" spans="1:30" ht="13.5" customHeight="1">
      <c r="A192" s="26"/>
      <c r="B192" s="26"/>
      <c r="C192" s="26"/>
      <c r="D192" s="48" t="str">
        <f>IF(Tracking!J156="","",IF(Person!$C$20="m",ABS((Tracking!J156/4-D$45)),ABS((Tracking!J156/4-D$48))))</f>
        <v/>
      </c>
      <c r="E192" s="48" t="str">
        <f>IF(Tracking!K156="","",IF(Person!$C$20="m",ABS((Tracking!K156/4-E$45)),ABS((Tracking!K156/4-E$48))))</f>
        <v/>
      </c>
      <c r="F192" s="48" t="str">
        <f>IF(Tracking!L156="","",IF(Person!$C$20="m",ABS((Tracking!L156/4-F$45)),ABS((Tracking!L156/4-F$48))))</f>
        <v/>
      </c>
      <c r="G192" s="48" t="str">
        <f>IF(Tracking!M156="","",IF(Person!$C$20="m",ABS((Tracking!M156/4-G$45)),ABS((Tracking!M156/4-G$48))))</f>
        <v/>
      </c>
      <c r="H192" s="48" t="str">
        <f>IF(Tracking!N156="","",IF(Person!$C$20="m",ABS((Tracking!N156/4-H$45)),ABS((Tracking!N156/4-H$48))))</f>
        <v/>
      </c>
      <c r="I192" s="48" t="str">
        <f>IF(Tracking!O156="","",IF(Person!$C$20="m",ABS((Tracking!O156/4-I$45)),ABS((Tracking!O156/4-I$48))))</f>
        <v/>
      </c>
      <c r="J192" s="48" t="str">
        <f>IF(Tracking!P156="","",IF(Person!$C$20="m",ABS((Tracking!P156/4-J$45)),ABS((Tracking!P156/4-J$48))))</f>
        <v/>
      </c>
      <c r="K192" s="48" t="str">
        <f>IF(Tracking!Q156="","",IF(Person!$C$20="m",ABS((Tracking!Q156/4-K$45)),ABS((Tracking!Q156/4-K$48))))</f>
        <v/>
      </c>
      <c r="L192" s="48" t="str">
        <f>IF(Tracking!R156="","",IF(Person!$C$20="m",ABS((Tracking!R156/4-L$45)),ABS((Tracking!R156/4-L$48))))</f>
        <v/>
      </c>
      <c r="M192" s="48" t="str">
        <f>IF(Tracking!S156="","",IF(Person!$C$20="m",ABS((Tracking!S156/4-M$45)),ABS((Tracking!S156/4-M$48))))</f>
        <v/>
      </c>
      <c r="N192" s="48" t="str">
        <f>IF(Tracking!T156="","",IF(Person!$C$20="m",ABS((Tracking!T156/4-N$45)),ABS((Tracking!T156/4-N$48))))</f>
        <v/>
      </c>
      <c r="O192" s="48" t="str">
        <f>IF(Tracking!U156="","",IF(Person!$C$20="m",ABS((Tracking!U156/4-O$45)),ABS((Tracking!U156/4-O$48))))</f>
        <v/>
      </c>
      <c r="P192" s="48" t="str">
        <f>IF(Tracking!V156="","",IF(Person!$C$20="m",ABS((Tracking!V156/4-P$45)),ABS((Tracking!V156/4-P$48))))</f>
        <v/>
      </c>
      <c r="Q192" s="43"/>
      <c r="R192" s="48" t="str">
        <f t="shared" ref="R192:AD192" si="144">IF(ISERROR(LARGE($D192:$P192,R$44)),"",LARGE($D192:$P192,R$44))</f>
        <v/>
      </c>
      <c r="S192" s="48" t="str">
        <f t="shared" si="144"/>
        <v/>
      </c>
      <c r="T192" s="48" t="str">
        <f t="shared" si="144"/>
        <v/>
      </c>
      <c r="U192" s="48" t="str">
        <f t="shared" si="144"/>
        <v/>
      </c>
      <c r="V192" s="48" t="str">
        <f t="shared" si="144"/>
        <v/>
      </c>
      <c r="W192" s="48" t="str">
        <f t="shared" si="144"/>
        <v/>
      </c>
      <c r="X192" s="48" t="str">
        <f t="shared" si="144"/>
        <v/>
      </c>
      <c r="Y192" s="48" t="str">
        <f t="shared" si="144"/>
        <v/>
      </c>
      <c r="Z192" s="48" t="str">
        <f t="shared" si="144"/>
        <v/>
      </c>
      <c r="AA192" s="48" t="str">
        <f t="shared" si="144"/>
        <v/>
      </c>
      <c r="AB192" s="48" t="str">
        <f t="shared" si="144"/>
        <v/>
      </c>
      <c r="AC192" s="48" t="str">
        <f t="shared" si="144"/>
        <v/>
      </c>
      <c r="AD192" s="48" t="str">
        <f t="shared" si="144"/>
        <v/>
      </c>
    </row>
    <row r="193" spans="1:30" ht="13.5" customHeight="1">
      <c r="A193" s="26"/>
      <c r="B193" s="26"/>
      <c r="C193" s="26"/>
      <c r="D193" s="49" t="str">
        <f t="shared" ref="D193:P193" si="145">IF(D192="","",IF(D192=$R192,1,IF(D192=$S192,2,IF(D192=$T192,3,IF(D192=$U192,4,IF(D192=$V192,5,IF(D192=$W192,6,IF(D192=$X192,7,IF(D192=$Y192,8,IF(D192=$Z192,9,IF(D192=$AA192,10,IF(D192=$AB192,11,IF(D192=$AC192,12,IF(D192=$AD192,13))))))))))))))</f>
        <v/>
      </c>
      <c r="E193" s="49" t="str">
        <f t="shared" si="145"/>
        <v/>
      </c>
      <c r="F193" s="49" t="str">
        <f t="shared" si="145"/>
        <v/>
      </c>
      <c r="G193" s="49" t="str">
        <f t="shared" si="145"/>
        <v/>
      </c>
      <c r="H193" s="49" t="str">
        <f t="shared" si="145"/>
        <v/>
      </c>
      <c r="I193" s="49" t="str">
        <f t="shared" si="145"/>
        <v/>
      </c>
      <c r="J193" s="49" t="str">
        <f t="shared" si="145"/>
        <v/>
      </c>
      <c r="K193" s="49" t="str">
        <f t="shared" si="145"/>
        <v/>
      </c>
      <c r="L193" s="49" t="str">
        <f t="shared" si="145"/>
        <v/>
      </c>
      <c r="M193" s="49" t="str">
        <f t="shared" si="145"/>
        <v/>
      </c>
      <c r="N193" s="49" t="str">
        <f t="shared" si="145"/>
        <v/>
      </c>
      <c r="O193" s="49" t="str">
        <f t="shared" si="145"/>
        <v/>
      </c>
      <c r="P193" s="49" t="str">
        <f t="shared" si="145"/>
        <v/>
      </c>
      <c r="Q193" s="43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</row>
    <row r="194" spans="1:30" ht="13.5" customHeight="1">
      <c r="A194" s="26"/>
      <c r="B194" s="26"/>
      <c r="C194" s="26"/>
      <c r="D194" s="48" t="str">
        <f>IF(Tracking!J158="","",IF(Person!$C$20="m",ABS((Tracking!J158/4-D$45)),ABS((Tracking!J158/4-D$48))))</f>
        <v/>
      </c>
      <c r="E194" s="48" t="str">
        <f>IF(Tracking!K158="","",IF(Person!$C$20="m",ABS((Tracking!K158/4-E$45)),ABS((Tracking!K158/4-E$48))))</f>
        <v/>
      </c>
      <c r="F194" s="48" t="str">
        <f>IF(Tracking!L158="","",IF(Person!$C$20="m",ABS((Tracking!L158/4-F$45)),ABS((Tracking!L158/4-F$48))))</f>
        <v/>
      </c>
      <c r="G194" s="48" t="str">
        <f>IF(Tracking!M158="","",IF(Person!$C$20="m",ABS((Tracking!M158/4-G$45)),ABS((Tracking!M158/4-G$48))))</f>
        <v/>
      </c>
      <c r="H194" s="48" t="str">
        <f>IF(Tracking!N158="","",IF(Person!$C$20="m",ABS((Tracking!N158/4-H$45)),ABS((Tracking!N158/4-H$48))))</f>
        <v/>
      </c>
      <c r="I194" s="48" t="str">
        <f>IF(Tracking!O158="","",IF(Person!$C$20="m",ABS((Tracking!O158/4-I$45)),ABS((Tracking!O158/4-I$48))))</f>
        <v/>
      </c>
      <c r="J194" s="48" t="str">
        <f>IF(Tracking!P158="","",IF(Person!$C$20="m",ABS((Tracking!P158/4-J$45)),ABS((Tracking!P158/4-J$48))))</f>
        <v/>
      </c>
      <c r="K194" s="48" t="str">
        <f>IF(Tracking!Q158="","",IF(Person!$C$20="m",ABS((Tracking!Q158/4-K$45)),ABS((Tracking!Q158/4-K$48))))</f>
        <v/>
      </c>
      <c r="L194" s="48" t="str">
        <f>IF(Tracking!R158="","",IF(Person!$C$20="m",ABS((Tracking!R158/4-L$45)),ABS((Tracking!R158/4-L$48))))</f>
        <v/>
      </c>
      <c r="M194" s="48" t="str">
        <f>IF(Tracking!S158="","",IF(Person!$C$20="m",ABS((Tracking!S158/4-M$45)),ABS((Tracking!S158/4-M$48))))</f>
        <v/>
      </c>
      <c r="N194" s="48" t="str">
        <f>IF(Tracking!T158="","",IF(Person!$C$20="m",ABS((Tracking!T158/4-N$45)),ABS((Tracking!T158/4-N$48))))</f>
        <v/>
      </c>
      <c r="O194" s="48" t="str">
        <f>IF(Tracking!U158="","",IF(Person!$C$20="m",ABS((Tracking!U158/4-O$45)),ABS((Tracking!U158/4-O$48))))</f>
        <v/>
      </c>
      <c r="P194" s="48" t="str">
        <f>IF(Tracking!V158="","",IF(Person!$C$20="m",ABS((Tracking!V158/4-P$45)),ABS((Tracking!V158/4-P$48))))</f>
        <v/>
      </c>
      <c r="Q194" s="43"/>
      <c r="R194" s="48" t="str">
        <f t="shared" ref="R194:AD194" si="146">IF(ISERROR(LARGE($D194:$P194,R$44)),"",LARGE($D194:$P194,R$44))</f>
        <v/>
      </c>
      <c r="S194" s="48" t="str">
        <f t="shared" si="146"/>
        <v/>
      </c>
      <c r="T194" s="48" t="str">
        <f t="shared" si="146"/>
        <v/>
      </c>
      <c r="U194" s="48" t="str">
        <f t="shared" si="146"/>
        <v/>
      </c>
      <c r="V194" s="48" t="str">
        <f t="shared" si="146"/>
        <v/>
      </c>
      <c r="W194" s="48" t="str">
        <f t="shared" si="146"/>
        <v/>
      </c>
      <c r="X194" s="48" t="str">
        <f t="shared" si="146"/>
        <v/>
      </c>
      <c r="Y194" s="48" t="str">
        <f t="shared" si="146"/>
        <v/>
      </c>
      <c r="Z194" s="48" t="str">
        <f t="shared" si="146"/>
        <v/>
      </c>
      <c r="AA194" s="48" t="str">
        <f t="shared" si="146"/>
        <v/>
      </c>
      <c r="AB194" s="48" t="str">
        <f t="shared" si="146"/>
        <v/>
      </c>
      <c r="AC194" s="48" t="str">
        <f t="shared" si="146"/>
        <v/>
      </c>
      <c r="AD194" s="48" t="str">
        <f t="shared" si="146"/>
        <v/>
      </c>
    </row>
    <row r="195" spans="1:30" ht="13.5" customHeight="1">
      <c r="A195" s="26"/>
      <c r="B195" s="26"/>
      <c r="C195" s="26"/>
      <c r="D195" s="49" t="str">
        <f t="shared" ref="D195:P195" si="147">IF(D194="","",IF(D194=$R194,1,IF(D194=$S194,2,IF(D194=$T194,3,IF(D194=$U194,4,IF(D194=$V194,5,IF(D194=$W194,6,IF(D194=$X194,7,IF(D194=$Y194,8,IF(D194=$Z194,9,IF(D194=$AA194,10,IF(D194=$AB194,11,IF(D194=$AC194,12,IF(D194=$AD194,13))))))))))))))</f>
        <v/>
      </c>
      <c r="E195" s="49" t="str">
        <f t="shared" si="147"/>
        <v/>
      </c>
      <c r="F195" s="49" t="str">
        <f t="shared" si="147"/>
        <v/>
      </c>
      <c r="G195" s="49" t="str">
        <f t="shared" si="147"/>
        <v/>
      </c>
      <c r="H195" s="49" t="str">
        <f t="shared" si="147"/>
        <v/>
      </c>
      <c r="I195" s="49" t="str">
        <f t="shared" si="147"/>
        <v/>
      </c>
      <c r="J195" s="49" t="str">
        <f t="shared" si="147"/>
        <v/>
      </c>
      <c r="K195" s="49" t="str">
        <f t="shared" si="147"/>
        <v/>
      </c>
      <c r="L195" s="49" t="str">
        <f t="shared" si="147"/>
        <v/>
      </c>
      <c r="M195" s="49" t="str">
        <f t="shared" si="147"/>
        <v/>
      </c>
      <c r="N195" s="49" t="str">
        <f t="shared" si="147"/>
        <v/>
      </c>
      <c r="O195" s="49" t="str">
        <f t="shared" si="147"/>
        <v/>
      </c>
      <c r="P195" s="49" t="str">
        <f t="shared" si="147"/>
        <v/>
      </c>
      <c r="Q195" s="43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</row>
    <row r="196" spans="1:30" ht="13.5" customHeight="1">
      <c r="A196" s="26"/>
      <c r="B196" s="26"/>
      <c r="C196" s="26"/>
      <c r="D196" s="48" t="str">
        <f>IF(Tracking!J160="","",IF(Person!$C$20="m",ABS((Tracking!J160/4-D$45)),ABS((Tracking!J160/4-D$48))))</f>
        <v/>
      </c>
      <c r="E196" s="48" t="str">
        <f>IF(Tracking!K160="","",IF(Person!$C$20="m",ABS((Tracking!K160/4-E$45)),ABS((Tracking!K160/4-E$48))))</f>
        <v/>
      </c>
      <c r="F196" s="48" t="str">
        <f>IF(Tracking!L160="","",IF(Person!$C$20="m",ABS((Tracking!L160/4-F$45)),ABS((Tracking!L160/4-F$48))))</f>
        <v/>
      </c>
      <c r="G196" s="48" t="str">
        <f>IF(Tracking!M160="","",IF(Person!$C$20="m",ABS((Tracking!M160/4-G$45)),ABS((Tracking!M160/4-G$48))))</f>
        <v/>
      </c>
      <c r="H196" s="48" t="str">
        <f>IF(Tracking!N160="","",IF(Person!$C$20="m",ABS((Tracking!N160/4-H$45)),ABS((Tracking!N160/4-H$48))))</f>
        <v/>
      </c>
      <c r="I196" s="48" t="str">
        <f>IF(Tracking!O160="","",IF(Person!$C$20="m",ABS((Tracking!O160/4-I$45)),ABS((Tracking!O160/4-I$48))))</f>
        <v/>
      </c>
      <c r="J196" s="48" t="str">
        <f>IF(Tracking!P160="","",IF(Person!$C$20="m",ABS((Tracking!P160/4-J$45)),ABS((Tracking!P160/4-J$48))))</f>
        <v/>
      </c>
      <c r="K196" s="48" t="str">
        <f>IF(Tracking!Q160="","",IF(Person!$C$20="m",ABS((Tracking!Q160/4-K$45)),ABS((Tracking!Q160/4-K$48))))</f>
        <v/>
      </c>
      <c r="L196" s="48" t="str">
        <f>IF(Tracking!R160="","",IF(Person!$C$20="m",ABS((Tracking!R160/4-L$45)),ABS((Tracking!R160/4-L$48))))</f>
        <v/>
      </c>
      <c r="M196" s="48" t="str">
        <f>IF(Tracking!S160="","",IF(Person!$C$20="m",ABS((Tracking!S160/4-M$45)),ABS((Tracking!S160/4-M$48))))</f>
        <v/>
      </c>
      <c r="N196" s="48" t="str">
        <f>IF(Tracking!T160="","",IF(Person!$C$20="m",ABS((Tracking!T160/4-N$45)),ABS((Tracking!T160/4-N$48))))</f>
        <v/>
      </c>
      <c r="O196" s="48" t="str">
        <f>IF(Tracking!U160="","",IF(Person!$C$20="m",ABS((Tracking!U160/4-O$45)),ABS((Tracking!U160/4-O$48))))</f>
        <v/>
      </c>
      <c r="P196" s="48" t="str">
        <f>IF(Tracking!V160="","",IF(Person!$C$20="m",ABS((Tracking!V160/4-P$45)),ABS((Tracking!V160/4-P$48))))</f>
        <v/>
      </c>
      <c r="Q196" s="43"/>
      <c r="R196" s="48" t="str">
        <f t="shared" ref="R196:AD196" si="148">IF(ISERROR(LARGE($D196:$P196,R$44)),"",LARGE($D196:$P196,R$44))</f>
        <v/>
      </c>
      <c r="S196" s="48" t="str">
        <f t="shared" si="148"/>
        <v/>
      </c>
      <c r="T196" s="48" t="str">
        <f t="shared" si="148"/>
        <v/>
      </c>
      <c r="U196" s="48" t="str">
        <f t="shared" si="148"/>
        <v/>
      </c>
      <c r="V196" s="48" t="str">
        <f t="shared" si="148"/>
        <v/>
      </c>
      <c r="W196" s="48" t="str">
        <f t="shared" si="148"/>
        <v/>
      </c>
      <c r="X196" s="48" t="str">
        <f t="shared" si="148"/>
        <v/>
      </c>
      <c r="Y196" s="48" t="str">
        <f t="shared" si="148"/>
        <v/>
      </c>
      <c r="Z196" s="48" t="str">
        <f t="shared" si="148"/>
        <v/>
      </c>
      <c r="AA196" s="48" t="str">
        <f t="shared" si="148"/>
        <v/>
      </c>
      <c r="AB196" s="48" t="str">
        <f t="shared" si="148"/>
        <v/>
      </c>
      <c r="AC196" s="48" t="str">
        <f t="shared" si="148"/>
        <v/>
      </c>
      <c r="AD196" s="48" t="str">
        <f t="shared" si="148"/>
        <v/>
      </c>
    </row>
    <row r="197" spans="1:30" ht="13.5" customHeight="1">
      <c r="A197" s="26"/>
      <c r="B197" s="26"/>
      <c r="C197" s="26"/>
      <c r="D197" s="49" t="str">
        <f t="shared" ref="D197:P197" si="149">IF(D196="","",IF(D196=$R196,1,IF(D196=$S196,2,IF(D196=$T196,3,IF(D196=$U196,4,IF(D196=$V196,5,IF(D196=$W196,6,IF(D196=$X196,7,IF(D196=$Y196,8,IF(D196=$Z196,9,IF(D196=$AA196,10,IF(D196=$AB196,11,IF(D196=$AC196,12,IF(D196=$AD196,13))))))))))))))</f>
        <v/>
      </c>
      <c r="E197" s="49" t="str">
        <f t="shared" si="149"/>
        <v/>
      </c>
      <c r="F197" s="49" t="str">
        <f t="shared" si="149"/>
        <v/>
      </c>
      <c r="G197" s="49" t="str">
        <f t="shared" si="149"/>
        <v/>
      </c>
      <c r="H197" s="49" t="str">
        <f t="shared" si="149"/>
        <v/>
      </c>
      <c r="I197" s="49" t="str">
        <f t="shared" si="149"/>
        <v/>
      </c>
      <c r="J197" s="49" t="str">
        <f t="shared" si="149"/>
        <v/>
      </c>
      <c r="K197" s="49" t="str">
        <f t="shared" si="149"/>
        <v/>
      </c>
      <c r="L197" s="49" t="str">
        <f t="shared" si="149"/>
        <v/>
      </c>
      <c r="M197" s="49" t="str">
        <f t="shared" si="149"/>
        <v/>
      </c>
      <c r="N197" s="49" t="str">
        <f t="shared" si="149"/>
        <v/>
      </c>
      <c r="O197" s="49" t="str">
        <f t="shared" si="149"/>
        <v/>
      </c>
      <c r="P197" s="49" t="str">
        <f t="shared" si="149"/>
        <v/>
      </c>
      <c r="Q197" s="43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</row>
    <row r="198" spans="1:30" ht="13.5" customHeight="1">
      <c r="A198" s="26"/>
      <c r="B198" s="26"/>
      <c r="C198" s="26"/>
      <c r="D198" s="48" t="str">
        <f>IF(Tracking!J162="","",IF(Person!$C$20="m",ABS((Tracking!J162/4-D$45)),ABS((Tracking!J162/4-D$48))))</f>
        <v/>
      </c>
      <c r="E198" s="48" t="str">
        <f>IF(Tracking!K162="","",IF(Person!$C$20="m",ABS((Tracking!K162/4-E$45)),ABS((Tracking!K162/4-E$48))))</f>
        <v/>
      </c>
      <c r="F198" s="48" t="str">
        <f>IF(Tracking!L162="","",IF(Person!$C$20="m",ABS((Tracking!L162/4-F$45)),ABS((Tracking!L162/4-F$48))))</f>
        <v/>
      </c>
      <c r="G198" s="48" t="str">
        <f>IF(Tracking!M162="","",IF(Person!$C$20="m",ABS((Tracking!M162/4-G$45)),ABS((Tracking!M162/4-G$48))))</f>
        <v/>
      </c>
      <c r="H198" s="48" t="str">
        <f>IF(Tracking!N162="","",IF(Person!$C$20="m",ABS((Tracking!N162/4-H$45)),ABS((Tracking!N162/4-H$48))))</f>
        <v/>
      </c>
      <c r="I198" s="48" t="str">
        <f>IF(Tracking!O162="","",IF(Person!$C$20="m",ABS((Tracking!O162/4-I$45)),ABS((Tracking!O162/4-I$48))))</f>
        <v/>
      </c>
      <c r="J198" s="48" t="str">
        <f>IF(Tracking!P162="","",IF(Person!$C$20="m",ABS((Tracking!P162/4-J$45)),ABS((Tracking!P162/4-J$48))))</f>
        <v/>
      </c>
      <c r="K198" s="48" t="str">
        <f>IF(Tracking!Q162="","",IF(Person!$C$20="m",ABS((Tracking!Q162/4-K$45)),ABS((Tracking!Q162/4-K$48))))</f>
        <v/>
      </c>
      <c r="L198" s="48" t="str">
        <f>IF(Tracking!R162="","",IF(Person!$C$20="m",ABS((Tracking!R162/4-L$45)),ABS((Tracking!R162/4-L$48))))</f>
        <v/>
      </c>
      <c r="M198" s="48" t="str">
        <f>IF(Tracking!S162="","",IF(Person!$C$20="m",ABS((Tracking!S162/4-M$45)),ABS((Tracking!S162/4-M$48))))</f>
        <v/>
      </c>
      <c r="N198" s="48" t="str">
        <f>IF(Tracking!T162="","",IF(Person!$C$20="m",ABS((Tracking!T162/4-N$45)),ABS((Tracking!T162/4-N$48))))</f>
        <v/>
      </c>
      <c r="O198" s="48" t="str">
        <f>IF(Tracking!U162="","",IF(Person!$C$20="m",ABS((Tracking!U162/4-O$45)),ABS((Tracking!U162/4-O$48))))</f>
        <v/>
      </c>
      <c r="P198" s="48" t="str">
        <f>IF(Tracking!V162="","",IF(Person!$C$20="m",ABS((Tracking!V162/4-P$45)),ABS((Tracking!V162/4-P$48))))</f>
        <v/>
      </c>
      <c r="Q198" s="43"/>
      <c r="R198" s="48" t="str">
        <f t="shared" ref="R198:AD198" si="150">IF(ISERROR(LARGE($D198:$P198,R$44)),"",LARGE($D198:$P198,R$44))</f>
        <v/>
      </c>
      <c r="S198" s="48" t="str">
        <f t="shared" si="150"/>
        <v/>
      </c>
      <c r="T198" s="48" t="str">
        <f t="shared" si="150"/>
        <v/>
      </c>
      <c r="U198" s="48" t="str">
        <f t="shared" si="150"/>
        <v/>
      </c>
      <c r="V198" s="48" t="str">
        <f t="shared" si="150"/>
        <v/>
      </c>
      <c r="W198" s="48" t="str">
        <f t="shared" si="150"/>
        <v/>
      </c>
      <c r="X198" s="48" t="str">
        <f t="shared" si="150"/>
        <v/>
      </c>
      <c r="Y198" s="48" t="str">
        <f t="shared" si="150"/>
        <v/>
      </c>
      <c r="Z198" s="48" t="str">
        <f t="shared" si="150"/>
        <v/>
      </c>
      <c r="AA198" s="48" t="str">
        <f t="shared" si="150"/>
        <v/>
      </c>
      <c r="AB198" s="48" t="str">
        <f t="shared" si="150"/>
        <v/>
      </c>
      <c r="AC198" s="48" t="str">
        <f t="shared" si="150"/>
        <v/>
      </c>
      <c r="AD198" s="48" t="str">
        <f t="shared" si="150"/>
        <v/>
      </c>
    </row>
    <row r="199" spans="1:30" ht="13.5" customHeight="1">
      <c r="A199" s="26"/>
      <c r="B199" s="26"/>
      <c r="C199" s="26"/>
      <c r="D199" s="49" t="str">
        <f t="shared" ref="D199:P199" si="151">IF(D198="","",IF(D198=$R198,1,IF(D198=$S198,2,IF(D198=$T198,3,IF(D198=$U198,4,IF(D198=$V198,5,IF(D198=$W198,6,IF(D198=$X198,7,IF(D198=$Y198,8,IF(D198=$Z198,9,IF(D198=$AA198,10,IF(D198=$AB198,11,IF(D198=$AC198,12,IF(D198=$AD198,13))))))))))))))</f>
        <v/>
      </c>
      <c r="E199" s="49" t="str">
        <f t="shared" si="151"/>
        <v/>
      </c>
      <c r="F199" s="49" t="str">
        <f t="shared" si="151"/>
        <v/>
      </c>
      <c r="G199" s="49" t="str">
        <f t="shared" si="151"/>
        <v/>
      </c>
      <c r="H199" s="49" t="str">
        <f t="shared" si="151"/>
        <v/>
      </c>
      <c r="I199" s="49" t="str">
        <f t="shared" si="151"/>
        <v/>
      </c>
      <c r="J199" s="49" t="str">
        <f t="shared" si="151"/>
        <v/>
      </c>
      <c r="K199" s="49" t="str">
        <f t="shared" si="151"/>
        <v/>
      </c>
      <c r="L199" s="49" t="str">
        <f t="shared" si="151"/>
        <v/>
      </c>
      <c r="M199" s="49" t="str">
        <f t="shared" si="151"/>
        <v/>
      </c>
      <c r="N199" s="49" t="str">
        <f t="shared" si="151"/>
        <v/>
      </c>
      <c r="O199" s="49" t="str">
        <f t="shared" si="151"/>
        <v/>
      </c>
      <c r="P199" s="49" t="str">
        <f t="shared" si="151"/>
        <v/>
      </c>
      <c r="Q199" s="43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</row>
    <row r="200" spans="1:30" ht="13.5" customHeight="1">
      <c r="A200" s="26"/>
      <c r="B200" s="26"/>
      <c r="C200" s="26"/>
      <c r="D200" s="48" t="str">
        <f>IF(Tracking!J164="","",IF(Person!$C$20="m",ABS((Tracking!J164/4-D$45)),ABS((Tracking!J164/4-D$48))))</f>
        <v/>
      </c>
      <c r="E200" s="48" t="str">
        <f>IF(Tracking!K164="","",IF(Person!$C$20="m",ABS((Tracking!K164/4-E$45)),ABS((Tracking!K164/4-E$48))))</f>
        <v/>
      </c>
      <c r="F200" s="48" t="str">
        <f>IF(Tracking!L164="","",IF(Person!$C$20="m",ABS((Tracking!L164/4-F$45)),ABS((Tracking!L164/4-F$48))))</f>
        <v/>
      </c>
      <c r="G200" s="48" t="str">
        <f>IF(Tracking!M164="","",IF(Person!$C$20="m",ABS((Tracking!M164/4-G$45)),ABS((Tracking!M164/4-G$48))))</f>
        <v/>
      </c>
      <c r="H200" s="48" t="str">
        <f>IF(Tracking!N164="","",IF(Person!$C$20="m",ABS((Tracking!N164/4-H$45)),ABS((Tracking!N164/4-H$48))))</f>
        <v/>
      </c>
      <c r="I200" s="48" t="str">
        <f>IF(Tracking!O164="","",IF(Person!$C$20="m",ABS((Tracking!O164/4-I$45)),ABS((Tracking!O164/4-I$48))))</f>
        <v/>
      </c>
      <c r="J200" s="48" t="str">
        <f>IF(Tracking!P164="","",IF(Person!$C$20="m",ABS((Tracking!P164/4-J$45)),ABS((Tracking!P164/4-J$48))))</f>
        <v/>
      </c>
      <c r="K200" s="48" t="str">
        <f>IF(Tracking!Q164="","",IF(Person!$C$20="m",ABS((Tracking!Q164/4-K$45)),ABS((Tracking!Q164/4-K$48))))</f>
        <v/>
      </c>
      <c r="L200" s="48" t="str">
        <f>IF(Tracking!R164="","",IF(Person!$C$20="m",ABS((Tracking!R164/4-L$45)),ABS((Tracking!R164/4-L$48))))</f>
        <v/>
      </c>
      <c r="M200" s="48" t="str">
        <f>IF(Tracking!S164="","",IF(Person!$C$20="m",ABS((Tracking!S164/4-M$45)),ABS((Tracking!S164/4-M$48))))</f>
        <v/>
      </c>
      <c r="N200" s="48" t="str">
        <f>IF(Tracking!T164="","",IF(Person!$C$20="m",ABS((Tracking!T164/4-N$45)),ABS((Tracking!T164/4-N$48))))</f>
        <v/>
      </c>
      <c r="O200" s="48" t="str">
        <f>IF(Tracking!U164="","",IF(Person!$C$20="m",ABS((Tracking!U164/4-O$45)),ABS((Tracking!U164/4-O$48))))</f>
        <v/>
      </c>
      <c r="P200" s="48" t="str">
        <f>IF(Tracking!V164="","",IF(Person!$C$20="m",ABS((Tracking!V164/4-P$45)),ABS((Tracking!V164/4-P$48))))</f>
        <v/>
      </c>
      <c r="Q200" s="43"/>
      <c r="R200" s="48" t="str">
        <f t="shared" ref="R200:AD200" si="152">IF(ISERROR(LARGE($D200:$P200,R$44)),"",LARGE($D200:$P200,R$44))</f>
        <v/>
      </c>
      <c r="S200" s="48" t="str">
        <f t="shared" si="152"/>
        <v/>
      </c>
      <c r="T200" s="48" t="str">
        <f t="shared" si="152"/>
        <v/>
      </c>
      <c r="U200" s="48" t="str">
        <f t="shared" si="152"/>
        <v/>
      </c>
      <c r="V200" s="48" t="str">
        <f t="shared" si="152"/>
        <v/>
      </c>
      <c r="W200" s="48" t="str">
        <f t="shared" si="152"/>
        <v/>
      </c>
      <c r="X200" s="48" t="str">
        <f t="shared" si="152"/>
        <v/>
      </c>
      <c r="Y200" s="48" t="str">
        <f t="shared" si="152"/>
        <v/>
      </c>
      <c r="Z200" s="48" t="str">
        <f t="shared" si="152"/>
        <v/>
      </c>
      <c r="AA200" s="48" t="str">
        <f t="shared" si="152"/>
        <v/>
      </c>
      <c r="AB200" s="48" t="str">
        <f t="shared" si="152"/>
        <v/>
      </c>
      <c r="AC200" s="48" t="str">
        <f t="shared" si="152"/>
        <v/>
      </c>
      <c r="AD200" s="48" t="str">
        <f t="shared" si="152"/>
        <v/>
      </c>
    </row>
    <row r="201" spans="1:30" ht="13.5" customHeight="1">
      <c r="A201" s="26"/>
      <c r="B201" s="26"/>
      <c r="C201" s="26"/>
      <c r="D201" s="49" t="str">
        <f t="shared" ref="D201:P201" si="153">IF(D200="","",IF(D200=$R200,1,IF(D200=$S200,2,IF(D200=$T200,3,IF(D200=$U200,4,IF(D200=$V200,5,IF(D200=$W200,6,IF(D200=$X200,7,IF(D200=$Y200,8,IF(D200=$Z200,9,IF(D200=$AA200,10,IF(D200=$AB200,11,IF(D200=$AC200,12,IF(D200=$AD200,13))))))))))))))</f>
        <v/>
      </c>
      <c r="E201" s="49" t="str">
        <f t="shared" si="153"/>
        <v/>
      </c>
      <c r="F201" s="49" t="str">
        <f t="shared" si="153"/>
        <v/>
      </c>
      <c r="G201" s="49" t="str">
        <f t="shared" si="153"/>
        <v/>
      </c>
      <c r="H201" s="49" t="str">
        <f t="shared" si="153"/>
        <v/>
      </c>
      <c r="I201" s="49" t="str">
        <f t="shared" si="153"/>
        <v/>
      </c>
      <c r="J201" s="49" t="str">
        <f t="shared" si="153"/>
        <v/>
      </c>
      <c r="K201" s="49" t="str">
        <f t="shared" si="153"/>
        <v/>
      </c>
      <c r="L201" s="49" t="str">
        <f t="shared" si="153"/>
        <v/>
      </c>
      <c r="M201" s="49" t="str">
        <f t="shared" si="153"/>
        <v/>
      </c>
      <c r="N201" s="49" t="str">
        <f t="shared" si="153"/>
        <v/>
      </c>
      <c r="O201" s="49" t="str">
        <f t="shared" si="153"/>
        <v/>
      </c>
      <c r="P201" s="49" t="str">
        <f t="shared" si="153"/>
        <v/>
      </c>
      <c r="Q201" s="43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</row>
    <row r="202" spans="1:30" ht="13.5" customHeight="1">
      <c r="A202" s="26"/>
      <c r="B202" s="26"/>
      <c r="C202" s="26"/>
      <c r="D202" s="48" t="str">
        <f>IF(Tracking!J166="","",IF(Person!$C$20="m",ABS((Tracking!J166/4-D$45)),ABS((Tracking!J166/4-D$48))))</f>
        <v/>
      </c>
      <c r="E202" s="48" t="str">
        <f>IF(Tracking!K166="","",IF(Person!$C$20="m",ABS((Tracking!K166/4-E$45)),ABS((Tracking!K166/4-E$48))))</f>
        <v/>
      </c>
      <c r="F202" s="48" t="str">
        <f>IF(Tracking!L166="","",IF(Person!$C$20="m",ABS((Tracking!L166/4-F$45)),ABS((Tracking!L166/4-F$48))))</f>
        <v/>
      </c>
      <c r="G202" s="48" t="str">
        <f>IF(Tracking!M166="","",IF(Person!$C$20="m",ABS((Tracking!M166/4-G$45)),ABS((Tracking!M166/4-G$48))))</f>
        <v/>
      </c>
      <c r="H202" s="48" t="str">
        <f>IF(Tracking!N166="","",IF(Person!$C$20="m",ABS((Tracking!N166/4-H$45)),ABS((Tracking!N166/4-H$48))))</f>
        <v/>
      </c>
      <c r="I202" s="48" t="str">
        <f>IF(Tracking!O166="","",IF(Person!$C$20="m",ABS((Tracking!O166/4-I$45)),ABS((Tracking!O166/4-I$48))))</f>
        <v/>
      </c>
      <c r="J202" s="48" t="str">
        <f>IF(Tracking!P166="","",IF(Person!$C$20="m",ABS((Tracking!P166/4-J$45)),ABS((Tracking!P166/4-J$48))))</f>
        <v/>
      </c>
      <c r="K202" s="48" t="str">
        <f>IF(Tracking!Q166="","",IF(Person!$C$20="m",ABS((Tracking!Q166/4-K$45)),ABS((Tracking!Q166/4-K$48))))</f>
        <v/>
      </c>
      <c r="L202" s="48" t="str">
        <f>IF(Tracking!R166="","",IF(Person!$C$20="m",ABS((Tracking!R166/4-L$45)),ABS((Tracking!R166/4-L$48))))</f>
        <v/>
      </c>
      <c r="M202" s="48" t="str">
        <f>IF(Tracking!S166="","",IF(Person!$C$20="m",ABS((Tracking!S166/4-M$45)),ABS((Tracking!S166/4-M$48))))</f>
        <v/>
      </c>
      <c r="N202" s="48" t="str">
        <f>IF(Tracking!T166="","",IF(Person!$C$20="m",ABS((Tracking!T166/4-N$45)),ABS((Tracking!T166/4-N$48))))</f>
        <v/>
      </c>
      <c r="O202" s="48" t="str">
        <f>IF(Tracking!U166="","",IF(Person!$C$20="m",ABS((Tracking!U166/4-O$45)),ABS((Tracking!U166/4-O$48))))</f>
        <v/>
      </c>
      <c r="P202" s="48" t="str">
        <f>IF(Tracking!V166="","",IF(Person!$C$20="m",ABS((Tracking!V166/4-P$45)),ABS((Tracking!V166/4-P$48))))</f>
        <v/>
      </c>
      <c r="Q202" s="43"/>
      <c r="R202" s="48" t="str">
        <f t="shared" ref="R202:AD202" si="154">IF(ISERROR(LARGE($D202:$P202,R$44)),"",LARGE($D202:$P202,R$44))</f>
        <v/>
      </c>
      <c r="S202" s="48" t="str">
        <f t="shared" si="154"/>
        <v/>
      </c>
      <c r="T202" s="48" t="str">
        <f t="shared" si="154"/>
        <v/>
      </c>
      <c r="U202" s="48" t="str">
        <f t="shared" si="154"/>
        <v/>
      </c>
      <c r="V202" s="48" t="str">
        <f t="shared" si="154"/>
        <v/>
      </c>
      <c r="W202" s="48" t="str">
        <f t="shared" si="154"/>
        <v/>
      </c>
      <c r="X202" s="48" t="str">
        <f t="shared" si="154"/>
        <v/>
      </c>
      <c r="Y202" s="48" t="str">
        <f t="shared" si="154"/>
        <v/>
      </c>
      <c r="Z202" s="48" t="str">
        <f t="shared" si="154"/>
        <v/>
      </c>
      <c r="AA202" s="48" t="str">
        <f t="shared" si="154"/>
        <v/>
      </c>
      <c r="AB202" s="48" t="str">
        <f t="shared" si="154"/>
        <v/>
      </c>
      <c r="AC202" s="48" t="str">
        <f t="shared" si="154"/>
        <v/>
      </c>
      <c r="AD202" s="48" t="str">
        <f t="shared" si="154"/>
        <v/>
      </c>
    </row>
    <row r="203" spans="1:30" ht="13.5" customHeight="1">
      <c r="A203" s="26"/>
      <c r="B203" s="26"/>
      <c r="C203" s="26"/>
      <c r="D203" s="49" t="str">
        <f t="shared" ref="D203:P203" si="155">IF(D202="","",IF(D202=$R202,1,IF(D202=$S202,2,IF(D202=$T202,3,IF(D202=$U202,4,IF(D202=$V202,5,IF(D202=$W202,6,IF(D202=$X202,7,IF(D202=$Y202,8,IF(D202=$Z202,9,IF(D202=$AA202,10,IF(D202=$AB202,11,IF(D202=$AC202,12,IF(D202=$AD202,13))))))))))))))</f>
        <v/>
      </c>
      <c r="E203" s="49" t="str">
        <f t="shared" si="155"/>
        <v/>
      </c>
      <c r="F203" s="49" t="str">
        <f t="shared" si="155"/>
        <v/>
      </c>
      <c r="G203" s="49" t="str">
        <f t="shared" si="155"/>
        <v/>
      </c>
      <c r="H203" s="49" t="str">
        <f t="shared" si="155"/>
        <v/>
      </c>
      <c r="I203" s="49" t="str">
        <f t="shared" si="155"/>
        <v/>
      </c>
      <c r="J203" s="49" t="str">
        <f t="shared" si="155"/>
        <v/>
      </c>
      <c r="K203" s="49" t="str">
        <f t="shared" si="155"/>
        <v/>
      </c>
      <c r="L203" s="49" t="str">
        <f t="shared" si="155"/>
        <v/>
      </c>
      <c r="M203" s="49" t="str">
        <f t="shared" si="155"/>
        <v/>
      </c>
      <c r="N203" s="49" t="str">
        <f t="shared" si="155"/>
        <v/>
      </c>
      <c r="O203" s="49" t="str">
        <f t="shared" si="155"/>
        <v/>
      </c>
      <c r="P203" s="49" t="str">
        <f t="shared" si="155"/>
        <v/>
      </c>
      <c r="Q203" s="43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</row>
    <row r="204" spans="1:30" ht="13.5" customHeight="1">
      <c r="A204" s="26"/>
      <c r="B204" s="26"/>
      <c r="C204" s="26"/>
      <c r="D204" s="48" t="str">
        <f>IF(Tracking!J168="","",IF(Person!$C$20="m",ABS((Tracking!J168/4-D$45)),ABS((Tracking!J168/4-D$48))))</f>
        <v/>
      </c>
      <c r="E204" s="48" t="str">
        <f>IF(Tracking!K168="","",IF(Person!$C$20="m",ABS((Tracking!K168/4-E$45)),ABS((Tracking!K168/4-E$48))))</f>
        <v/>
      </c>
      <c r="F204" s="48" t="str">
        <f>IF(Tracking!L168="","",IF(Person!$C$20="m",ABS((Tracking!L168/4-F$45)),ABS((Tracking!L168/4-F$48))))</f>
        <v/>
      </c>
      <c r="G204" s="48" t="str">
        <f>IF(Tracking!M168="","",IF(Person!$C$20="m",ABS((Tracking!M168/4-G$45)),ABS((Tracking!M168/4-G$48))))</f>
        <v/>
      </c>
      <c r="H204" s="48" t="str">
        <f>IF(Tracking!N168="","",IF(Person!$C$20="m",ABS((Tracking!N168/4-H$45)),ABS((Tracking!N168/4-H$48))))</f>
        <v/>
      </c>
      <c r="I204" s="48" t="str">
        <f>IF(Tracking!O168="","",IF(Person!$C$20="m",ABS((Tracking!O168/4-I$45)),ABS((Tracking!O168/4-I$48))))</f>
        <v/>
      </c>
      <c r="J204" s="48" t="str">
        <f>IF(Tracking!P168="","",IF(Person!$C$20="m",ABS((Tracking!P168/4-J$45)),ABS((Tracking!P168/4-J$48))))</f>
        <v/>
      </c>
      <c r="K204" s="48" t="str">
        <f>IF(Tracking!Q168="","",IF(Person!$C$20="m",ABS((Tracking!Q168/4-K$45)),ABS((Tracking!Q168/4-K$48))))</f>
        <v/>
      </c>
      <c r="L204" s="48" t="str">
        <f>IF(Tracking!R168="","",IF(Person!$C$20="m",ABS((Tracking!R168/4-L$45)),ABS((Tracking!R168/4-L$48))))</f>
        <v/>
      </c>
      <c r="M204" s="48" t="str">
        <f>IF(Tracking!S168="","",IF(Person!$C$20="m",ABS((Tracking!S168/4-M$45)),ABS((Tracking!S168/4-M$48))))</f>
        <v/>
      </c>
      <c r="N204" s="48" t="str">
        <f>IF(Tracking!T168="","",IF(Person!$C$20="m",ABS((Tracking!T168/4-N$45)),ABS((Tracking!T168/4-N$48))))</f>
        <v/>
      </c>
      <c r="O204" s="48" t="str">
        <f>IF(Tracking!U168="","",IF(Person!$C$20="m",ABS((Tracking!U168/4-O$45)),ABS((Tracking!U168/4-O$48))))</f>
        <v/>
      </c>
      <c r="P204" s="48" t="str">
        <f>IF(Tracking!V168="","",IF(Person!$C$20="m",ABS((Tracking!V168/4-P$45)),ABS((Tracking!V168/4-P$48))))</f>
        <v/>
      </c>
      <c r="Q204" s="43"/>
      <c r="R204" s="48" t="str">
        <f t="shared" ref="R204:AD204" si="156">IF(ISERROR(LARGE($D204:$P204,R$44)),"",LARGE($D204:$P204,R$44))</f>
        <v/>
      </c>
      <c r="S204" s="48" t="str">
        <f t="shared" si="156"/>
        <v/>
      </c>
      <c r="T204" s="48" t="str">
        <f t="shared" si="156"/>
        <v/>
      </c>
      <c r="U204" s="48" t="str">
        <f t="shared" si="156"/>
        <v/>
      </c>
      <c r="V204" s="48" t="str">
        <f t="shared" si="156"/>
        <v/>
      </c>
      <c r="W204" s="48" t="str">
        <f t="shared" si="156"/>
        <v/>
      </c>
      <c r="X204" s="48" t="str">
        <f t="shared" si="156"/>
        <v/>
      </c>
      <c r="Y204" s="48" t="str">
        <f t="shared" si="156"/>
        <v/>
      </c>
      <c r="Z204" s="48" t="str">
        <f t="shared" si="156"/>
        <v/>
      </c>
      <c r="AA204" s="48" t="str">
        <f t="shared" si="156"/>
        <v/>
      </c>
      <c r="AB204" s="48" t="str">
        <f t="shared" si="156"/>
        <v/>
      </c>
      <c r="AC204" s="48" t="str">
        <f t="shared" si="156"/>
        <v/>
      </c>
      <c r="AD204" s="48" t="str">
        <f t="shared" si="156"/>
        <v/>
      </c>
    </row>
    <row r="205" spans="1:30" ht="13.5" customHeight="1">
      <c r="A205" s="26"/>
      <c r="B205" s="26"/>
      <c r="C205" s="26"/>
      <c r="D205" s="49" t="str">
        <f t="shared" ref="D205:P205" si="157">IF(D204="","",IF(D204=$R204,1,IF(D204=$S204,2,IF(D204=$T204,3,IF(D204=$U204,4,IF(D204=$V204,5,IF(D204=$W204,6,IF(D204=$X204,7,IF(D204=$Y204,8,IF(D204=$Z204,9,IF(D204=$AA204,10,IF(D204=$AB204,11,IF(D204=$AC204,12,IF(D204=$AD204,13))))))))))))))</f>
        <v/>
      </c>
      <c r="E205" s="49" t="str">
        <f t="shared" si="157"/>
        <v/>
      </c>
      <c r="F205" s="49" t="str">
        <f t="shared" si="157"/>
        <v/>
      </c>
      <c r="G205" s="49" t="str">
        <f t="shared" si="157"/>
        <v/>
      </c>
      <c r="H205" s="49" t="str">
        <f t="shared" si="157"/>
        <v/>
      </c>
      <c r="I205" s="49" t="str">
        <f t="shared" si="157"/>
        <v/>
      </c>
      <c r="J205" s="49" t="str">
        <f t="shared" si="157"/>
        <v/>
      </c>
      <c r="K205" s="49" t="str">
        <f t="shared" si="157"/>
        <v/>
      </c>
      <c r="L205" s="49" t="str">
        <f t="shared" si="157"/>
        <v/>
      </c>
      <c r="M205" s="49" t="str">
        <f t="shared" si="157"/>
        <v/>
      </c>
      <c r="N205" s="49" t="str">
        <f t="shared" si="157"/>
        <v/>
      </c>
      <c r="O205" s="49" t="str">
        <f t="shared" si="157"/>
        <v/>
      </c>
      <c r="P205" s="49" t="str">
        <f t="shared" si="157"/>
        <v/>
      </c>
      <c r="Q205" s="43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</row>
    <row r="206" spans="1:30" ht="13.5" customHeight="1">
      <c r="A206" s="26"/>
      <c r="B206" s="26"/>
      <c r="C206" s="26"/>
      <c r="D206" s="48" t="str">
        <f>IF(Tracking!J170="","",IF(Person!$C$20="m",ABS((Tracking!J170/4-D$45)),ABS((Tracking!J170/4-D$48))))</f>
        <v/>
      </c>
      <c r="E206" s="48" t="str">
        <f>IF(Tracking!K170="","",IF(Person!$C$20="m",ABS((Tracking!K170/4-E$45)),ABS((Tracking!K170/4-E$48))))</f>
        <v/>
      </c>
      <c r="F206" s="48" t="str">
        <f>IF(Tracking!L170="","",IF(Person!$C$20="m",ABS((Tracking!L170/4-F$45)),ABS((Tracking!L170/4-F$48))))</f>
        <v/>
      </c>
      <c r="G206" s="48" t="str">
        <f>IF(Tracking!M170="","",IF(Person!$C$20="m",ABS((Tracking!M170/4-G$45)),ABS((Tracking!M170/4-G$48))))</f>
        <v/>
      </c>
      <c r="H206" s="48" t="str">
        <f>IF(Tracking!N170="","",IF(Person!$C$20="m",ABS((Tracking!N170/4-H$45)),ABS((Tracking!N170/4-H$48))))</f>
        <v/>
      </c>
      <c r="I206" s="48" t="str">
        <f>IF(Tracking!O170="","",IF(Person!$C$20="m",ABS((Tracking!O170/4-I$45)),ABS((Tracking!O170/4-I$48))))</f>
        <v/>
      </c>
      <c r="J206" s="48" t="str">
        <f>IF(Tracking!P170="","",IF(Person!$C$20="m",ABS((Tracking!P170/4-J$45)),ABS((Tracking!P170/4-J$48))))</f>
        <v/>
      </c>
      <c r="K206" s="48" t="str">
        <f>IF(Tracking!Q170="","",IF(Person!$C$20="m",ABS((Tracking!Q170/4-K$45)),ABS((Tracking!Q170/4-K$48))))</f>
        <v/>
      </c>
      <c r="L206" s="48" t="str">
        <f>IF(Tracking!R170="","",IF(Person!$C$20="m",ABS((Tracking!R170/4-L$45)),ABS((Tracking!R170/4-L$48))))</f>
        <v/>
      </c>
      <c r="M206" s="48" t="str">
        <f>IF(Tracking!S170="","",IF(Person!$C$20="m",ABS((Tracking!S170/4-M$45)),ABS((Tracking!S170/4-M$48))))</f>
        <v/>
      </c>
      <c r="N206" s="48" t="str">
        <f>IF(Tracking!T170="","",IF(Person!$C$20="m",ABS((Tracking!T170/4-N$45)),ABS((Tracking!T170/4-N$48))))</f>
        <v/>
      </c>
      <c r="O206" s="48" t="str">
        <f>IF(Tracking!U170="","",IF(Person!$C$20="m",ABS((Tracking!U170/4-O$45)),ABS((Tracking!U170/4-O$48))))</f>
        <v/>
      </c>
      <c r="P206" s="48" t="str">
        <f>IF(Tracking!V170="","",IF(Person!$C$20="m",ABS((Tracking!V170/4-P$45)),ABS((Tracking!V170/4-P$48))))</f>
        <v/>
      </c>
      <c r="Q206" s="43"/>
      <c r="R206" s="48" t="str">
        <f t="shared" ref="R206:AD206" si="158">IF(ISERROR(LARGE($D206:$P206,R$44)),"",LARGE($D206:$P206,R$44))</f>
        <v/>
      </c>
      <c r="S206" s="48" t="str">
        <f t="shared" si="158"/>
        <v/>
      </c>
      <c r="T206" s="48" t="str">
        <f t="shared" si="158"/>
        <v/>
      </c>
      <c r="U206" s="48" t="str">
        <f t="shared" si="158"/>
        <v/>
      </c>
      <c r="V206" s="48" t="str">
        <f t="shared" si="158"/>
        <v/>
      </c>
      <c r="W206" s="48" t="str">
        <f t="shared" si="158"/>
        <v/>
      </c>
      <c r="X206" s="48" t="str">
        <f t="shared" si="158"/>
        <v/>
      </c>
      <c r="Y206" s="48" t="str">
        <f t="shared" si="158"/>
        <v/>
      </c>
      <c r="Z206" s="48" t="str">
        <f t="shared" si="158"/>
        <v/>
      </c>
      <c r="AA206" s="48" t="str">
        <f t="shared" si="158"/>
        <v/>
      </c>
      <c r="AB206" s="48" t="str">
        <f t="shared" si="158"/>
        <v/>
      </c>
      <c r="AC206" s="48" t="str">
        <f t="shared" si="158"/>
        <v/>
      </c>
      <c r="AD206" s="48" t="str">
        <f t="shared" si="158"/>
        <v/>
      </c>
    </row>
    <row r="207" spans="1:30" ht="13.5" customHeight="1">
      <c r="A207" s="26"/>
      <c r="B207" s="26"/>
      <c r="C207" s="26"/>
      <c r="D207" s="49" t="str">
        <f t="shared" ref="D207:P207" si="159">IF(D206="","",IF(D206=$R206,1,IF(D206=$S206,2,IF(D206=$T206,3,IF(D206=$U206,4,IF(D206=$V206,5,IF(D206=$W206,6,IF(D206=$X206,7,IF(D206=$Y206,8,IF(D206=$Z206,9,IF(D206=$AA206,10,IF(D206=$AB206,11,IF(D206=$AC206,12,IF(D206=$AD206,13))))))))))))))</f>
        <v/>
      </c>
      <c r="E207" s="49" t="str">
        <f t="shared" si="159"/>
        <v/>
      </c>
      <c r="F207" s="49" t="str">
        <f t="shared" si="159"/>
        <v/>
      </c>
      <c r="G207" s="49" t="str">
        <f t="shared" si="159"/>
        <v/>
      </c>
      <c r="H207" s="49" t="str">
        <f t="shared" si="159"/>
        <v/>
      </c>
      <c r="I207" s="49" t="str">
        <f t="shared" si="159"/>
        <v/>
      </c>
      <c r="J207" s="49" t="str">
        <f t="shared" si="159"/>
        <v/>
      </c>
      <c r="K207" s="49" t="str">
        <f t="shared" si="159"/>
        <v/>
      </c>
      <c r="L207" s="49" t="str">
        <f t="shared" si="159"/>
        <v/>
      </c>
      <c r="M207" s="49" t="str">
        <f t="shared" si="159"/>
        <v/>
      </c>
      <c r="N207" s="49" t="str">
        <f t="shared" si="159"/>
        <v/>
      </c>
      <c r="O207" s="49" t="str">
        <f t="shared" si="159"/>
        <v/>
      </c>
      <c r="P207" s="49" t="str">
        <f t="shared" si="159"/>
        <v/>
      </c>
      <c r="Q207" s="43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</row>
    <row r="208" spans="1:30" ht="13.5" customHeight="1">
      <c r="A208" s="26"/>
      <c r="B208" s="26"/>
      <c r="C208" s="26"/>
      <c r="D208" s="48" t="str">
        <f>IF(Tracking!J172="","",IF(Person!$C$20="m",ABS((Tracking!J172/4-D$45)),ABS((Tracking!J172/4-D$48))))</f>
        <v/>
      </c>
      <c r="E208" s="48" t="str">
        <f>IF(Tracking!K172="","",IF(Person!$C$20="m",ABS((Tracking!K172/4-E$45)),ABS((Tracking!K172/4-E$48))))</f>
        <v/>
      </c>
      <c r="F208" s="48" t="str">
        <f>IF(Tracking!L172="","",IF(Person!$C$20="m",ABS((Tracking!L172/4-F$45)),ABS((Tracking!L172/4-F$48))))</f>
        <v/>
      </c>
      <c r="G208" s="48" t="str">
        <f>IF(Tracking!M172="","",IF(Person!$C$20="m",ABS((Tracking!M172/4-G$45)),ABS((Tracking!M172/4-G$48))))</f>
        <v/>
      </c>
      <c r="H208" s="48" t="str">
        <f>IF(Tracking!N172="","",IF(Person!$C$20="m",ABS((Tracking!N172/4-H$45)),ABS((Tracking!N172/4-H$48))))</f>
        <v/>
      </c>
      <c r="I208" s="48" t="str">
        <f>IF(Tracking!O172="","",IF(Person!$C$20="m",ABS((Tracking!O172/4-I$45)),ABS((Tracking!O172/4-I$48))))</f>
        <v/>
      </c>
      <c r="J208" s="48" t="str">
        <f>IF(Tracking!P172="","",IF(Person!$C$20="m",ABS((Tracking!P172/4-J$45)),ABS((Tracking!P172/4-J$48))))</f>
        <v/>
      </c>
      <c r="K208" s="48" t="str">
        <f>IF(Tracking!Q172="","",IF(Person!$C$20="m",ABS((Tracking!Q172/4-K$45)),ABS((Tracking!Q172/4-K$48))))</f>
        <v/>
      </c>
      <c r="L208" s="48" t="str">
        <f>IF(Tracking!R172="","",IF(Person!$C$20="m",ABS((Tracking!R172/4-L$45)),ABS((Tracking!R172/4-L$48))))</f>
        <v/>
      </c>
      <c r="M208" s="48" t="str">
        <f>IF(Tracking!S172="","",IF(Person!$C$20="m",ABS((Tracking!S172/4-M$45)),ABS((Tracking!S172/4-M$48))))</f>
        <v/>
      </c>
      <c r="N208" s="48" t="str">
        <f>IF(Tracking!T172="","",IF(Person!$C$20="m",ABS((Tracking!T172/4-N$45)),ABS((Tracking!T172/4-N$48))))</f>
        <v/>
      </c>
      <c r="O208" s="48" t="str">
        <f>IF(Tracking!U172="","",IF(Person!$C$20="m",ABS((Tracking!U172/4-O$45)),ABS((Tracking!U172/4-O$48))))</f>
        <v/>
      </c>
      <c r="P208" s="48" t="str">
        <f>IF(Tracking!V172="","",IF(Person!$C$20="m",ABS((Tracking!V172/4-P$45)),ABS((Tracking!V172/4-P$48))))</f>
        <v/>
      </c>
      <c r="Q208" s="43"/>
      <c r="R208" s="48" t="str">
        <f t="shared" ref="R208:AD208" si="160">IF(ISERROR(LARGE($D208:$P208,R$44)),"",LARGE($D208:$P208,R$44))</f>
        <v/>
      </c>
      <c r="S208" s="48" t="str">
        <f t="shared" si="160"/>
        <v/>
      </c>
      <c r="T208" s="48" t="str">
        <f t="shared" si="160"/>
        <v/>
      </c>
      <c r="U208" s="48" t="str">
        <f t="shared" si="160"/>
        <v/>
      </c>
      <c r="V208" s="48" t="str">
        <f t="shared" si="160"/>
        <v/>
      </c>
      <c r="W208" s="48" t="str">
        <f t="shared" si="160"/>
        <v/>
      </c>
      <c r="X208" s="48" t="str">
        <f t="shared" si="160"/>
        <v/>
      </c>
      <c r="Y208" s="48" t="str">
        <f t="shared" si="160"/>
        <v/>
      </c>
      <c r="Z208" s="48" t="str">
        <f t="shared" si="160"/>
        <v/>
      </c>
      <c r="AA208" s="48" t="str">
        <f t="shared" si="160"/>
        <v/>
      </c>
      <c r="AB208" s="48" t="str">
        <f t="shared" si="160"/>
        <v/>
      </c>
      <c r="AC208" s="48" t="str">
        <f t="shared" si="160"/>
        <v/>
      </c>
      <c r="AD208" s="48" t="str">
        <f t="shared" si="160"/>
        <v/>
      </c>
    </row>
    <row r="209" spans="1:30" ht="13.5" customHeight="1">
      <c r="A209" s="26"/>
      <c r="B209" s="26"/>
      <c r="C209" s="26"/>
      <c r="D209" s="49" t="str">
        <f t="shared" ref="D209:P209" si="161">IF(D208="","",IF(D208=$R208,1,IF(D208=$S208,2,IF(D208=$T208,3,IF(D208=$U208,4,IF(D208=$V208,5,IF(D208=$W208,6,IF(D208=$X208,7,IF(D208=$Y208,8,IF(D208=$Z208,9,IF(D208=$AA208,10,IF(D208=$AB208,11,IF(D208=$AC208,12,IF(D208=$AD208,13))))))))))))))</f>
        <v/>
      </c>
      <c r="E209" s="49" t="str">
        <f t="shared" si="161"/>
        <v/>
      </c>
      <c r="F209" s="49" t="str">
        <f t="shared" si="161"/>
        <v/>
      </c>
      <c r="G209" s="49" t="str">
        <f t="shared" si="161"/>
        <v/>
      </c>
      <c r="H209" s="49" t="str">
        <f t="shared" si="161"/>
        <v/>
      </c>
      <c r="I209" s="49" t="str">
        <f t="shared" si="161"/>
        <v/>
      </c>
      <c r="J209" s="49" t="str">
        <f t="shared" si="161"/>
        <v/>
      </c>
      <c r="K209" s="49" t="str">
        <f t="shared" si="161"/>
        <v/>
      </c>
      <c r="L209" s="49" t="str">
        <f t="shared" si="161"/>
        <v/>
      </c>
      <c r="M209" s="49" t="str">
        <f t="shared" si="161"/>
        <v/>
      </c>
      <c r="N209" s="49" t="str">
        <f t="shared" si="161"/>
        <v/>
      </c>
      <c r="O209" s="49" t="str">
        <f t="shared" si="161"/>
        <v/>
      </c>
      <c r="P209" s="49" t="str">
        <f t="shared" si="161"/>
        <v/>
      </c>
      <c r="Q209" s="43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</row>
    <row r="210" spans="1:30" ht="13.5" customHeight="1">
      <c r="A210" s="26"/>
      <c r="B210" s="26"/>
      <c r="C210" s="26"/>
      <c r="D210" s="48" t="str">
        <f>IF(Tracking!J174="","",IF(Person!$C$20="m",ABS((Tracking!J174/4-D$45)),ABS((Tracking!J174/4-D$48))))</f>
        <v/>
      </c>
      <c r="E210" s="48" t="str">
        <f>IF(Tracking!K174="","",IF(Person!$C$20="m",ABS((Tracking!K174/4-E$45)),ABS((Tracking!K174/4-E$48))))</f>
        <v/>
      </c>
      <c r="F210" s="48" t="str">
        <f>IF(Tracking!L174="","",IF(Person!$C$20="m",ABS((Tracking!L174/4-F$45)),ABS((Tracking!L174/4-F$48))))</f>
        <v/>
      </c>
      <c r="G210" s="48" t="str">
        <f>IF(Tracking!M174="","",IF(Person!$C$20="m",ABS((Tracking!M174/4-G$45)),ABS((Tracking!M174/4-G$48))))</f>
        <v/>
      </c>
      <c r="H210" s="48" t="str">
        <f>IF(Tracking!N174="","",IF(Person!$C$20="m",ABS((Tracking!N174/4-H$45)),ABS((Tracking!N174/4-H$48))))</f>
        <v/>
      </c>
      <c r="I210" s="48" t="str">
        <f>IF(Tracking!O174="","",IF(Person!$C$20="m",ABS((Tracking!O174/4-I$45)),ABS((Tracking!O174/4-I$48))))</f>
        <v/>
      </c>
      <c r="J210" s="48" t="str">
        <f>IF(Tracking!P174="","",IF(Person!$C$20="m",ABS((Tracking!P174/4-J$45)),ABS((Tracking!P174/4-J$48))))</f>
        <v/>
      </c>
      <c r="K210" s="48" t="str">
        <f>IF(Tracking!Q174="","",IF(Person!$C$20="m",ABS((Tracking!Q174/4-K$45)),ABS((Tracking!Q174/4-K$48))))</f>
        <v/>
      </c>
      <c r="L210" s="48" t="str">
        <f>IF(Tracking!R174="","",IF(Person!$C$20="m",ABS((Tracking!R174/4-L$45)),ABS((Tracking!R174/4-L$48))))</f>
        <v/>
      </c>
      <c r="M210" s="48" t="str">
        <f>IF(Tracking!S174="","",IF(Person!$C$20="m",ABS((Tracking!S174/4-M$45)),ABS((Tracking!S174/4-M$48))))</f>
        <v/>
      </c>
      <c r="N210" s="48" t="str">
        <f>IF(Tracking!T174="","",IF(Person!$C$20="m",ABS((Tracking!T174/4-N$45)),ABS((Tracking!T174/4-N$48))))</f>
        <v/>
      </c>
      <c r="O210" s="48" t="str">
        <f>IF(Tracking!U174="","",IF(Person!$C$20="m",ABS((Tracking!U174/4-O$45)),ABS((Tracking!U174/4-O$48))))</f>
        <v/>
      </c>
      <c r="P210" s="48" t="str">
        <f>IF(Tracking!V174="","",IF(Person!$C$20="m",ABS((Tracking!V174/4-P$45)),ABS((Tracking!V174/4-P$48))))</f>
        <v/>
      </c>
      <c r="Q210" s="43"/>
      <c r="R210" s="48" t="str">
        <f t="shared" ref="R210:AD210" si="162">IF(ISERROR(LARGE($D210:$P210,R$44)),"",LARGE($D210:$P210,R$44))</f>
        <v/>
      </c>
      <c r="S210" s="48" t="str">
        <f t="shared" si="162"/>
        <v/>
      </c>
      <c r="T210" s="48" t="str">
        <f t="shared" si="162"/>
        <v/>
      </c>
      <c r="U210" s="48" t="str">
        <f t="shared" si="162"/>
        <v/>
      </c>
      <c r="V210" s="48" t="str">
        <f t="shared" si="162"/>
        <v/>
      </c>
      <c r="W210" s="48" t="str">
        <f t="shared" si="162"/>
        <v/>
      </c>
      <c r="X210" s="48" t="str">
        <f t="shared" si="162"/>
        <v/>
      </c>
      <c r="Y210" s="48" t="str">
        <f t="shared" si="162"/>
        <v/>
      </c>
      <c r="Z210" s="48" t="str">
        <f t="shared" si="162"/>
        <v/>
      </c>
      <c r="AA210" s="48" t="str">
        <f t="shared" si="162"/>
        <v/>
      </c>
      <c r="AB210" s="48" t="str">
        <f t="shared" si="162"/>
        <v/>
      </c>
      <c r="AC210" s="48" t="str">
        <f t="shared" si="162"/>
        <v/>
      </c>
      <c r="AD210" s="48" t="str">
        <f t="shared" si="162"/>
        <v/>
      </c>
    </row>
    <row r="211" spans="1:30" ht="13.5" customHeight="1">
      <c r="A211" s="26"/>
      <c r="B211" s="26"/>
      <c r="C211" s="26"/>
      <c r="D211" s="49" t="str">
        <f t="shared" ref="D211:P211" si="163">IF(D210="","",IF(D210=$R210,1,IF(D210=$S210,2,IF(D210=$T210,3,IF(D210=$U210,4,IF(D210=$V210,5,IF(D210=$W210,6,IF(D210=$X210,7,IF(D210=$Y210,8,IF(D210=$Z210,9,IF(D210=$AA210,10,IF(D210=$AB210,11,IF(D210=$AC210,12,IF(D210=$AD210,13))))))))))))))</f>
        <v/>
      </c>
      <c r="E211" s="49" t="str">
        <f t="shared" si="163"/>
        <v/>
      </c>
      <c r="F211" s="49" t="str">
        <f t="shared" si="163"/>
        <v/>
      </c>
      <c r="G211" s="49" t="str">
        <f t="shared" si="163"/>
        <v/>
      </c>
      <c r="H211" s="49" t="str">
        <f t="shared" si="163"/>
        <v/>
      </c>
      <c r="I211" s="49" t="str">
        <f t="shared" si="163"/>
        <v/>
      </c>
      <c r="J211" s="49" t="str">
        <f t="shared" si="163"/>
        <v/>
      </c>
      <c r="K211" s="49" t="str">
        <f t="shared" si="163"/>
        <v/>
      </c>
      <c r="L211" s="49" t="str">
        <f t="shared" si="163"/>
        <v/>
      </c>
      <c r="M211" s="49" t="str">
        <f t="shared" si="163"/>
        <v/>
      </c>
      <c r="N211" s="49" t="str">
        <f t="shared" si="163"/>
        <v/>
      </c>
      <c r="O211" s="49" t="str">
        <f t="shared" si="163"/>
        <v/>
      </c>
      <c r="P211" s="49" t="str">
        <f t="shared" si="163"/>
        <v/>
      </c>
      <c r="Q211" s="43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</row>
    <row r="212" spans="1:30" ht="13.5" customHeight="1">
      <c r="A212" s="26"/>
      <c r="B212" s="26"/>
      <c r="C212" s="26"/>
      <c r="D212" s="48" t="str">
        <f>IF(Tracking!J176="","",IF(Person!$C$20="m",ABS((Tracking!J176/4-D$45)),ABS((Tracking!J176/4-D$48))))</f>
        <v/>
      </c>
      <c r="E212" s="48" t="str">
        <f>IF(Tracking!K176="","",IF(Person!$C$20="m",ABS((Tracking!K176/4-E$45)),ABS((Tracking!K176/4-E$48))))</f>
        <v/>
      </c>
      <c r="F212" s="48" t="str">
        <f>IF(Tracking!L176="","",IF(Person!$C$20="m",ABS((Tracking!L176/4-F$45)),ABS((Tracking!L176/4-F$48))))</f>
        <v/>
      </c>
      <c r="G212" s="48" t="str">
        <f>IF(Tracking!M176="","",IF(Person!$C$20="m",ABS((Tracking!M176/4-G$45)),ABS((Tracking!M176/4-G$48))))</f>
        <v/>
      </c>
      <c r="H212" s="48" t="str">
        <f>IF(Tracking!N176="","",IF(Person!$C$20="m",ABS((Tracking!N176/4-H$45)),ABS((Tracking!N176/4-H$48))))</f>
        <v/>
      </c>
      <c r="I212" s="48" t="str">
        <f>IF(Tracking!O176="","",IF(Person!$C$20="m",ABS((Tracking!O176/4-I$45)),ABS((Tracking!O176/4-I$48))))</f>
        <v/>
      </c>
      <c r="J212" s="48" t="str">
        <f>IF(Tracking!P176="","",IF(Person!$C$20="m",ABS((Tracking!P176/4-J$45)),ABS((Tracking!P176/4-J$48))))</f>
        <v/>
      </c>
      <c r="K212" s="48" t="str">
        <f>IF(Tracking!Q176="","",IF(Person!$C$20="m",ABS((Tracking!Q176/4-K$45)),ABS((Tracking!Q176/4-K$48))))</f>
        <v/>
      </c>
      <c r="L212" s="48" t="str">
        <f>IF(Tracking!R176="","",IF(Person!$C$20="m",ABS((Tracking!R176/4-L$45)),ABS((Tracking!R176/4-L$48))))</f>
        <v/>
      </c>
      <c r="M212" s="48" t="str">
        <f>IF(Tracking!S176="","",IF(Person!$C$20="m",ABS((Tracking!S176/4-M$45)),ABS((Tracking!S176/4-M$48))))</f>
        <v/>
      </c>
      <c r="N212" s="48" t="str">
        <f>IF(Tracking!T176="","",IF(Person!$C$20="m",ABS((Tracking!T176/4-N$45)),ABS((Tracking!T176/4-N$48))))</f>
        <v/>
      </c>
      <c r="O212" s="48" t="str">
        <f>IF(Tracking!U176="","",IF(Person!$C$20="m",ABS((Tracking!U176/4-O$45)),ABS((Tracking!U176/4-O$48))))</f>
        <v/>
      </c>
      <c r="P212" s="48" t="str">
        <f>IF(Tracking!V176="","",IF(Person!$C$20="m",ABS((Tracking!V176/4-P$45)),ABS((Tracking!V176/4-P$48))))</f>
        <v/>
      </c>
      <c r="Q212" s="43"/>
      <c r="R212" s="48" t="str">
        <f t="shared" ref="R212:AD212" si="164">IF(ISERROR(LARGE($D212:$P212,R$44)),"",LARGE($D212:$P212,R$44))</f>
        <v/>
      </c>
      <c r="S212" s="48" t="str">
        <f t="shared" si="164"/>
        <v/>
      </c>
      <c r="T212" s="48" t="str">
        <f t="shared" si="164"/>
        <v/>
      </c>
      <c r="U212" s="48" t="str">
        <f t="shared" si="164"/>
        <v/>
      </c>
      <c r="V212" s="48" t="str">
        <f t="shared" si="164"/>
        <v/>
      </c>
      <c r="W212" s="48" t="str">
        <f t="shared" si="164"/>
        <v/>
      </c>
      <c r="X212" s="48" t="str">
        <f t="shared" si="164"/>
        <v/>
      </c>
      <c r="Y212" s="48" t="str">
        <f t="shared" si="164"/>
        <v/>
      </c>
      <c r="Z212" s="48" t="str">
        <f t="shared" si="164"/>
        <v/>
      </c>
      <c r="AA212" s="48" t="str">
        <f t="shared" si="164"/>
        <v/>
      </c>
      <c r="AB212" s="48" t="str">
        <f t="shared" si="164"/>
        <v/>
      </c>
      <c r="AC212" s="48" t="str">
        <f t="shared" si="164"/>
        <v/>
      </c>
      <c r="AD212" s="48" t="str">
        <f t="shared" si="164"/>
        <v/>
      </c>
    </row>
    <row r="213" spans="1:30" ht="13.5" customHeight="1">
      <c r="A213" s="26"/>
      <c r="B213" s="26"/>
      <c r="C213" s="26"/>
      <c r="D213" s="49" t="str">
        <f t="shared" ref="D213:P213" si="165">IF(D212="","",IF(D212=$R212,1,IF(D212=$S212,2,IF(D212=$T212,3,IF(D212=$U212,4,IF(D212=$V212,5,IF(D212=$W212,6,IF(D212=$X212,7,IF(D212=$Y212,8,IF(D212=$Z212,9,IF(D212=$AA212,10,IF(D212=$AB212,11,IF(D212=$AC212,12,IF(D212=$AD212,13))))))))))))))</f>
        <v/>
      </c>
      <c r="E213" s="49" t="str">
        <f t="shared" si="165"/>
        <v/>
      </c>
      <c r="F213" s="49" t="str">
        <f t="shared" si="165"/>
        <v/>
      </c>
      <c r="G213" s="49" t="str">
        <f t="shared" si="165"/>
        <v/>
      </c>
      <c r="H213" s="49" t="str">
        <f t="shared" si="165"/>
        <v/>
      </c>
      <c r="I213" s="49" t="str">
        <f t="shared" si="165"/>
        <v/>
      </c>
      <c r="J213" s="49" t="str">
        <f t="shared" si="165"/>
        <v/>
      </c>
      <c r="K213" s="49" t="str">
        <f t="shared" si="165"/>
        <v/>
      </c>
      <c r="L213" s="49" t="str">
        <f t="shared" si="165"/>
        <v/>
      </c>
      <c r="M213" s="49" t="str">
        <f t="shared" si="165"/>
        <v/>
      </c>
      <c r="N213" s="49" t="str">
        <f t="shared" si="165"/>
        <v/>
      </c>
      <c r="O213" s="49" t="str">
        <f t="shared" si="165"/>
        <v/>
      </c>
      <c r="P213" s="49" t="str">
        <f t="shared" si="165"/>
        <v/>
      </c>
      <c r="Q213" s="43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</row>
    <row r="214" spans="1:30" ht="13.5" customHeight="1">
      <c r="A214" s="26"/>
      <c r="B214" s="26"/>
      <c r="C214" s="26"/>
      <c r="D214" s="48" t="str">
        <f>IF(Tracking!J178="","",IF(Person!$C$20="m",ABS((Tracking!J178/4-D$45)),ABS((Tracking!J178/4-D$48))))</f>
        <v/>
      </c>
      <c r="E214" s="48" t="str">
        <f>IF(Tracking!K178="","",IF(Person!$C$20="m",ABS((Tracking!K178/4-E$45)),ABS((Tracking!K178/4-E$48))))</f>
        <v/>
      </c>
      <c r="F214" s="48" t="str">
        <f>IF(Tracking!L178="","",IF(Person!$C$20="m",ABS((Tracking!L178/4-F$45)),ABS((Tracking!L178/4-F$48))))</f>
        <v/>
      </c>
      <c r="G214" s="48" t="str">
        <f>IF(Tracking!M178="","",IF(Person!$C$20="m",ABS((Tracking!M178/4-G$45)),ABS((Tracking!M178/4-G$48))))</f>
        <v/>
      </c>
      <c r="H214" s="48" t="str">
        <f>IF(Tracking!N178="","",IF(Person!$C$20="m",ABS((Tracking!N178/4-H$45)),ABS((Tracking!N178/4-H$48))))</f>
        <v/>
      </c>
      <c r="I214" s="48" t="str">
        <f>IF(Tracking!O178="","",IF(Person!$C$20="m",ABS((Tracking!O178/4-I$45)),ABS((Tracking!O178/4-I$48))))</f>
        <v/>
      </c>
      <c r="J214" s="48" t="str">
        <f>IF(Tracking!P178="","",IF(Person!$C$20="m",ABS((Tracking!P178/4-J$45)),ABS((Tracking!P178/4-J$48))))</f>
        <v/>
      </c>
      <c r="K214" s="48" t="str">
        <f>IF(Tracking!Q178="","",IF(Person!$C$20="m",ABS((Tracking!Q178/4-K$45)),ABS((Tracking!Q178/4-K$48))))</f>
        <v/>
      </c>
      <c r="L214" s="48" t="str">
        <f>IF(Tracking!R178="","",IF(Person!$C$20="m",ABS((Tracking!R178/4-L$45)),ABS((Tracking!R178/4-L$48))))</f>
        <v/>
      </c>
      <c r="M214" s="48" t="str">
        <f>IF(Tracking!S178="","",IF(Person!$C$20="m",ABS((Tracking!S178/4-M$45)),ABS((Tracking!S178/4-M$48))))</f>
        <v/>
      </c>
      <c r="N214" s="48" t="str">
        <f>IF(Tracking!T178="","",IF(Person!$C$20="m",ABS((Tracking!T178/4-N$45)),ABS((Tracking!T178/4-N$48))))</f>
        <v/>
      </c>
      <c r="O214" s="48" t="str">
        <f>IF(Tracking!U178="","",IF(Person!$C$20="m",ABS((Tracking!U178/4-O$45)),ABS((Tracking!U178/4-O$48))))</f>
        <v/>
      </c>
      <c r="P214" s="48" t="str">
        <f>IF(Tracking!V178="","",IF(Person!$C$20="m",ABS((Tracking!V178/4-P$45)),ABS((Tracking!V178/4-P$48))))</f>
        <v/>
      </c>
      <c r="Q214" s="43"/>
      <c r="R214" s="48" t="str">
        <f t="shared" ref="R214:AD214" si="166">IF(ISERROR(LARGE($D214:$P214,R$44)),"",LARGE($D214:$P214,R$44))</f>
        <v/>
      </c>
      <c r="S214" s="48" t="str">
        <f t="shared" si="166"/>
        <v/>
      </c>
      <c r="T214" s="48" t="str">
        <f t="shared" si="166"/>
        <v/>
      </c>
      <c r="U214" s="48" t="str">
        <f t="shared" si="166"/>
        <v/>
      </c>
      <c r="V214" s="48" t="str">
        <f t="shared" si="166"/>
        <v/>
      </c>
      <c r="W214" s="48" t="str">
        <f t="shared" si="166"/>
        <v/>
      </c>
      <c r="X214" s="48" t="str">
        <f t="shared" si="166"/>
        <v/>
      </c>
      <c r="Y214" s="48" t="str">
        <f t="shared" si="166"/>
        <v/>
      </c>
      <c r="Z214" s="48" t="str">
        <f t="shared" si="166"/>
        <v/>
      </c>
      <c r="AA214" s="48" t="str">
        <f t="shared" si="166"/>
        <v/>
      </c>
      <c r="AB214" s="48" t="str">
        <f t="shared" si="166"/>
        <v/>
      </c>
      <c r="AC214" s="48" t="str">
        <f t="shared" si="166"/>
        <v/>
      </c>
      <c r="AD214" s="48" t="str">
        <f t="shared" si="166"/>
        <v/>
      </c>
    </row>
    <row r="215" spans="1:30" ht="13.5" customHeight="1">
      <c r="A215" s="26"/>
      <c r="B215" s="26"/>
      <c r="C215" s="26"/>
      <c r="D215" s="49" t="str">
        <f t="shared" ref="D215:P215" si="167">IF(D214="","",IF(D214=$R214,1,IF(D214=$S214,2,IF(D214=$T214,3,IF(D214=$U214,4,IF(D214=$V214,5,IF(D214=$W214,6,IF(D214=$X214,7,IF(D214=$Y214,8,IF(D214=$Z214,9,IF(D214=$AA214,10,IF(D214=$AB214,11,IF(D214=$AC214,12,IF(D214=$AD214,13))))))))))))))</f>
        <v/>
      </c>
      <c r="E215" s="49" t="str">
        <f t="shared" si="167"/>
        <v/>
      </c>
      <c r="F215" s="49" t="str">
        <f t="shared" si="167"/>
        <v/>
      </c>
      <c r="G215" s="49" t="str">
        <f t="shared" si="167"/>
        <v/>
      </c>
      <c r="H215" s="49" t="str">
        <f t="shared" si="167"/>
        <v/>
      </c>
      <c r="I215" s="49" t="str">
        <f t="shared" si="167"/>
        <v/>
      </c>
      <c r="J215" s="49" t="str">
        <f t="shared" si="167"/>
        <v/>
      </c>
      <c r="K215" s="49" t="str">
        <f t="shared" si="167"/>
        <v/>
      </c>
      <c r="L215" s="49" t="str">
        <f t="shared" si="167"/>
        <v/>
      </c>
      <c r="M215" s="49" t="str">
        <f t="shared" si="167"/>
        <v/>
      </c>
      <c r="N215" s="49" t="str">
        <f t="shared" si="167"/>
        <v/>
      </c>
      <c r="O215" s="49" t="str">
        <f t="shared" si="167"/>
        <v/>
      </c>
      <c r="P215" s="49" t="str">
        <f t="shared" si="167"/>
        <v/>
      </c>
      <c r="Q215" s="43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6"/>
    </row>
    <row r="216" spans="1:30" ht="13.5" customHeight="1">
      <c r="A216" s="26"/>
      <c r="B216" s="26"/>
      <c r="C216" s="26"/>
      <c r="D216" s="48" t="str">
        <f>IF(Tracking!J180="","",IF(Person!$C$20="m",ABS((Tracking!J180/4-D$45)),ABS((Tracking!J180/4-D$48))))</f>
        <v/>
      </c>
      <c r="E216" s="48" t="str">
        <f>IF(Tracking!K180="","",IF(Person!$C$20="m",ABS((Tracking!K180/4-E$45)),ABS((Tracking!K180/4-E$48))))</f>
        <v/>
      </c>
      <c r="F216" s="48" t="str">
        <f>IF(Tracking!L180="","",IF(Person!$C$20="m",ABS((Tracking!L180/4-F$45)),ABS((Tracking!L180/4-F$48))))</f>
        <v/>
      </c>
      <c r="G216" s="48" t="str">
        <f>IF(Tracking!M180="","",IF(Person!$C$20="m",ABS((Tracking!M180/4-G$45)),ABS((Tracking!M180/4-G$48))))</f>
        <v/>
      </c>
      <c r="H216" s="48" t="str">
        <f>IF(Tracking!N180="","",IF(Person!$C$20="m",ABS((Tracking!N180/4-H$45)),ABS((Tracking!N180/4-H$48))))</f>
        <v/>
      </c>
      <c r="I216" s="48" t="str">
        <f>IF(Tracking!O180="","",IF(Person!$C$20="m",ABS((Tracking!O180/4-I$45)),ABS((Tracking!O180/4-I$48))))</f>
        <v/>
      </c>
      <c r="J216" s="48" t="str">
        <f>IF(Tracking!P180="","",IF(Person!$C$20="m",ABS((Tracking!P180/4-J$45)),ABS((Tracking!P180/4-J$48))))</f>
        <v/>
      </c>
      <c r="K216" s="48" t="str">
        <f>IF(Tracking!Q180="","",IF(Person!$C$20="m",ABS((Tracking!Q180/4-K$45)),ABS((Tracking!Q180/4-K$48))))</f>
        <v/>
      </c>
      <c r="L216" s="48" t="str">
        <f>IF(Tracking!R180="","",IF(Person!$C$20="m",ABS((Tracking!R180/4-L$45)),ABS((Tracking!R180/4-L$48))))</f>
        <v/>
      </c>
      <c r="M216" s="48" t="str">
        <f>IF(Tracking!S180="","",IF(Person!$C$20="m",ABS((Tracking!S180/4-M$45)),ABS((Tracking!S180/4-M$48))))</f>
        <v/>
      </c>
      <c r="N216" s="48" t="str">
        <f>IF(Tracking!T180="","",IF(Person!$C$20="m",ABS((Tracking!T180/4-N$45)),ABS((Tracking!T180/4-N$48))))</f>
        <v/>
      </c>
      <c r="O216" s="48" t="str">
        <f>IF(Tracking!U180="","",IF(Person!$C$20="m",ABS((Tracking!U180/4-O$45)),ABS((Tracking!U180/4-O$48))))</f>
        <v/>
      </c>
      <c r="P216" s="48" t="str">
        <f>IF(Tracking!V180="","",IF(Person!$C$20="m",ABS((Tracking!V180/4-P$45)),ABS((Tracking!V180/4-P$48))))</f>
        <v/>
      </c>
      <c r="Q216" s="43"/>
      <c r="R216" s="48" t="str">
        <f t="shared" ref="R216:AD216" si="168">IF(ISERROR(LARGE($D216:$P216,R$44)),"",LARGE($D216:$P216,R$44))</f>
        <v/>
      </c>
      <c r="S216" s="48" t="str">
        <f t="shared" si="168"/>
        <v/>
      </c>
      <c r="T216" s="48" t="str">
        <f t="shared" si="168"/>
        <v/>
      </c>
      <c r="U216" s="48" t="str">
        <f t="shared" si="168"/>
        <v/>
      </c>
      <c r="V216" s="48" t="str">
        <f t="shared" si="168"/>
        <v/>
      </c>
      <c r="W216" s="48" t="str">
        <f t="shared" si="168"/>
        <v/>
      </c>
      <c r="X216" s="48" t="str">
        <f t="shared" si="168"/>
        <v/>
      </c>
      <c r="Y216" s="48" t="str">
        <f t="shared" si="168"/>
        <v/>
      </c>
      <c r="Z216" s="48" t="str">
        <f t="shared" si="168"/>
        <v/>
      </c>
      <c r="AA216" s="48" t="str">
        <f t="shared" si="168"/>
        <v/>
      </c>
      <c r="AB216" s="48" t="str">
        <f t="shared" si="168"/>
        <v/>
      </c>
      <c r="AC216" s="48" t="str">
        <f t="shared" si="168"/>
        <v/>
      </c>
      <c r="AD216" s="48" t="str">
        <f t="shared" si="168"/>
        <v/>
      </c>
    </row>
    <row r="217" spans="1:30" ht="13.5" customHeight="1">
      <c r="A217" s="26"/>
      <c r="B217" s="26"/>
      <c r="C217" s="26"/>
      <c r="D217" s="49" t="str">
        <f t="shared" ref="D217:P217" si="169">IF(D216="","",IF(D216=$R216,1,IF(D216=$S216,2,IF(D216=$T216,3,IF(D216=$U216,4,IF(D216=$V216,5,IF(D216=$W216,6,IF(D216=$X216,7,IF(D216=$Y216,8,IF(D216=$Z216,9,IF(D216=$AA216,10,IF(D216=$AB216,11,IF(D216=$AC216,12,IF(D216=$AD216,13))))))))))))))</f>
        <v/>
      </c>
      <c r="E217" s="49" t="str">
        <f t="shared" si="169"/>
        <v/>
      </c>
      <c r="F217" s="49" t="str">
        <f t="shared" si="169"/>
        <v/>
      </c>
      <c r="G217" s="49" t="str">
        <f t="shared" si="169"/>
        <v/>
      </c>
      <c r="H217" s="49" t="str">
        <f t="shared" si="169"/>
        <v/>
      </c>
      <c r="I217" s="49" t="str">
        <f t="shared" si="169"/>
        <v/>
      </c>
      <c r="J217" s="49" t="str">
        <f t="shared" si="169"/>
        <v/>
      </c>
      <c r="K217" s="49" t="str">
        <f t="shared" si="169"/>
        <v/>
      </c>
      <c r="L217" s="49" t="str">
        <f t="shared" si="169"/>
        <v/>
      </c>
      <c r="M217" s="49" t="str">
        <f t="shared" si="169"/>
        <v/>
      </c>
      <c r="N217" s="49" t="str">
        <f t="shared" si="169"/>
        <v/>
      </c>
      <c r="O217" s="49" t="str">
        <f t="shared" si="169"/>
        <v/>
      </c>
      <c r="P217" s="49" t="str">
        <f t="shared" si="169"/>
        <v/>
      </c>
      <c r="Q217" s="43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</row>
    <row r="218" spans="1:30" ht="13.5" customHeight="1">
      <c r="A218" s="26"/>
      <c r="B218" s="26"/>
      <c r="C218" s="26"/>
      <c r="D218" s="48" t="str">
        <f>IF(Tracking!J182="","",IF(Person!$C$20="m",ABS((Tracking!J182/4-D$45)),ABS((Tracking!J182/4-D$48))))</f>
        <v/>
      </c>
      <c r="E218" s="48" t="str">
        <f>IF(Tracking!K182="","",IF(Person!$C$20="m",ABS((Tracking!K182/4-E$45)),ABS((Tracking!K182/4-E$48))))</f>
        <v/>
      </c>
      <c r="F218" s="48" t="str">
        <f>IF(Tracking!L182="","",IF(Person!$C$20="m",ABS((Tracking!L182/4-F$45)),ABS((Tracking!L182/4-F$48))))</f>
        <v/>
      </c>
      <c r="G218" s="48" t="str">
        <f>IF(Tracking!M182="","",IF(Person!$C$20="m",ABS((Tracking!M182/4-G$45)),ABS((Tracking!M182/4-G$48))))</f>
        <v/>
      </c>
      <c r="H218" s="48" t="str">
        <f>IF(Tracking!N182="","",IF(Person!$C$20="m",ABS((Tracking!N182/4-H$45)),ABS((Tracking!N182/4-H$48))))</f>
        <v/>
      </c>
      <c r="I218" s="48" t="str">
        <f>IF(Tracking!O182="","",IF(Person!$C$20="m",ABS((Tracking!O182/4-I$45)),ABS((Tracking!O182/4-I$48))))</f>
        <v/>
      </c>
      <c r="J218" s="48" t="str">
        <f>IF(Tracking!P182="","",IF(Person!$C$20="m",ABS((Tracking!P182/4-J$45)),ABS((Tracking!P182/4-J$48))))</f>
        <v/>
      </c>
      <c r="K218" s="48" t="str">
        <f>IF(Tracking!Q182="","",IF(Person!$C$20="m",ABS((Tracking!Q182/4-K$45)),ABS((Tracking!Q182/4-K$48))))</f>
        <v/>
      </c>
      <c r="L218" s="48" t="str">
        <f>IF(Tracking!R182="","",IF(Person!$C$20="m",ABS((Tracking!R182/4-L$45)),ABS((Tracking!R182/4-L$48))))</f>
        <v/>
      </c>
      <c r="M218" s="48" t="str">
        <f>IF(Tracking!S182="","",IF(Person!$C$20="m",ABS((Tracking!S182/4-M$45)),ABS((Tracking!S182/4-M$48))))</f>
        <v/>
      </c>
      <c r="N218" s="48" t="str">
        <f>IF(Tracking!T182="","",IF(Person!$C$20="m",ABS((Tracking!T182/4-N$45)),ABS((Tracking!T182/4-N$48))))</f>
        <v/>
      </c>
      <c r="O218" s="48" t="str">
        <f>IF(Tracking!U182="","",IF(Person!$C$20="m",ABS((Tracking!U182/4-O$45)),ABS((Tracking!U182/4-O$48))))</f>
        <v/>
      </c>
      <c r="P218" s="48" t="str">
        <f>IF(Tracking!V182="","",IF(Person!$C$20="m",ABS((Tracking!V182/4-P$45)),ABS((Tracking!V182/4-P$48))))</f>
        <v/>
      </c>
      <c r="Q218" s="43"/>
      <c r="R218" s="48" t="str">
        <f t="shared" ref="R218:AD218" si="170">IF(ISERROR(LARGE($D218:$P218,R$44)),"",LARGE($D218:$P218,R$44))</f>
        <v/>
      </c>
      <c r="S218" s="48" t="str">
        <f t="shared" si="170"/>
        <v/>
      </c>
      <c r="T218" s="48" t="str">
        <f t="shared" si="170"/>
        <v/>
      </c>
      <c r="U218" s="48" t="str">
        <f t="shared" si="170"/>
        <v/>
      </c>
      <c r="V218" s="48" t="str">
        <f t="shared" si="170"/>
        <v/>
      </c>
      <c r="W218" s="48" t="str">
        <f t="shared" si="170"/>
        <v/>
      </c>
      <c r="X218" s="48" t="str">
        <f t="shared" si="170"/>
        <v/>
      </c>
      <c r="Y218" s="48" t="str">
        <f t="shared" si="170"/>
        <v/>
      </c>
      <c r="Z218" s="48" t="str">
        <f t="shared" si="170"/>
        <v/>
      </c>
      <c r="AA218" s="48" t="str">
        <f t="shared" si="170"/>
        <v/>
      </c>
      <c r="AB218" s="48" t="str">
        <f t="shared" si="170"/>
        <v/>
      </c>
      <c r="AC218" s="48" t="str">
        <f t="shared" si="170"/>
        <v/>
      </c>
      <c r="AD218" s="48" t="str">
        <f t="shared" si="170"/>
        <v/>
      </c>
    </row>
    <row r="219" spans="1:30" ht="13.5" customHeight="1">
      <c r="A219" s="26"/>
      <c r="B219" s="26"/>
      <c r="C219" s="26"/>
      <c r="D219" s="49" t="str">
        <f t="shared" ref="D219:P219" si="171">IF(D218="","",IF(D218=$R218,1,IF(D218=$S218,2,IF(D218=$T218,3,IF(D218=$U218,4,IF(D218=$V218,5,IF(D218=$W218,6,IF(D218=$X218,7,IF(D218=$Y218,8,IF(D218=$Z218,9,IF(D218=$AA218,10,IF(D218=$AB218,11,IF(D218=$AC218,12,IF(D218=$AD218,13))))))))))))))</f>
        <v/>
      </c>
      <c r="E219" s="49" t="str">
        <f t="shared" si="171"/>
        <v/>
      </c>
      <c r="F219" s="49" t="str">
        <f t="shared" si="171"/>
        <v/>
      </c>
      <c r="G219" s="49" t="str">
        <f t="shared" si="171"/>
        <v/>
      </c>
      <c r="H219" s="49" t="str">
        <f t="shared" si="171"/>
        <v/>
      </c>
      <c r="I219" s="49" t="str">
        <f t="shared" si="171"/>
        <v/>
      </c>
      <c r="J219" s="49" t="str">
        <f t="shared" si="171"/>
        <v/>
      </c>
      <c r="K219" s="49" t="str">
        <f t="shared" si="171"/>
        <v/>
      </c>
      <c r="L219" s="49" t="str">
        <f t="shared" si="171"/>
        <v/>
      </c>
      <c r="M219" s="49" t="str">
        <f t="shared" si="171"/>
        <v/>
      </c>
      <c r="N219" s="49" t="str">
        <f t="shared" si="171"/>
        <v/>
      </c>
      <c r="O219" s="49" t="str">
        <f t="shared" si="171"/>
        <v/>
      </c>
      <c r="P219" s="49" t="str">
        <f t="shared" si="171"/>
        <v/>
      </c>
      <c r="Q219" s="43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</row>
    <row r="220" spans="1:30" ht="13.5" customHeight="1">
      <c r="A220" s="26"/>
      <c r="B220" s="26"/>
      <c r="C220" s="26"/>
      <c r="D220" s="48" t="str">
        <f>IF(Tracking!J184="","",IF(Person!$C$20="m",ABS((Tracking!J184/4-D$45)),ABS((Tracking!J184/4-D$48))))</f>
        <v/>
      </c>
      <c r="E220" s="48" t="str">
        <f>IF(Tracking!K184="","",IF(Person!$C$20="m",ABS((Tracking!K184/4-E$45)),ABS((Tracking!K184/4-E$48))))</f>
        <v/>
      </c>
      <c r="F220" s="48" t="str">
        <f>IF(Tracking!L184="","",IF(Person!$C$20="m",ABS((Tracking!L184/4-F$45)),ABS((Tracking!L184/4-F$48))))</f>
        <v/>
      </c>
      <c r="G220" s="48" t="str">
        <f>IF(Tracking!M184="","",IF(Person!$C$20="m",ABS((Tracking!M184/4-G$45)),ABS((Tracking!M184/4-G$48))))</f>
        <v/>
      </c>
      <c r="H220" s="48" t="str">
        <f>IF(Tracking!N184="","",IF(Person!$C$20="m",ABS((Tracking!N184/4-H$45)),ABS((Tracking!N184/4-H$48))))</f>
        <v/>
      </c>
      <c r="I220" s="48" t="str">
        <f>IF(Tracking!O184="","",IF(Person!$C$20="m",ABS((Tracking!O184/4-I$45)),ABS((Tracking!O184/4-I$48))))</f>
        <v/>
      </c>
      <c r="J220" s="48" t="str">
        <f>IF(Tracking!P184="","",IF(Person!$C$20="m",ABS((Tracking!P184/4-J$45)),ABS((Tracking!P184/4-J$48))))</f>
        <v/>
      </c>
      <c r="K220" s="48" t="str">
        <f>IF(Tracking!Q184="","",IF(Person!$C$20="m",ABS((Tracking!Q184/4-K$45)),ABS((Tracking!Q184/4-K$48))))</f>
        <v/>
      </c>
      <c r="L220" s="48" t="str">
        <f>IF(Tracking!R184="","",IF(Person!$C$20="m",ABS((Tracking!R184/4-L$45)),ABS((Tracking!R184/4-L$48))))</f>
        <v/>
      </c>
      <c r="M220" s="48" t="str">
        <f>IF(Tracking!S184="","",IF(Person!$C$20="m",ABS((Tracking!S184/4-M$45)),ABS((Tracking!S184/4-M$48))))</f>
        <v/>
      </c>
      <c r="N220" s="48" t="str">
        <f>IF(Tracking!T184="","",IF(Person!$C$20="m",ABS((Tracking!T184/4-N$45)),ABS((Tracking!T184/4-N$48))))</f>
        <v/>
      </c>
      <c r="O220" s="48" t="str">
        <f>IF(Tracking!U184="","",IF(Person!$C$20="m",ABS((Tracking!U184/4-O$45)),ABS((Tracking!U184/4-O$48))))</f>
        <v/>
      </c>
      <c r="P220" s="48" t="str">
        <f>IF(Tracking!V184="","",IF(Person!$C$20="m",ABS((Tracking!V184/4-P$45)),ABS((Tracking!V184/4-P$48))))</f>
        <v/>
      </c>
      <c r="Q220" s="43"/>
      <c r="R220" s="48" t="str">
        <f t="shared" ref="R220:AD220" si="172">IF(ISERROR(LARGE($D220:$P220,R$44)),"",LARGE($D220:$P220,R$44))</f>
        <v/>
      </c>
      <c r="S220" s="48" t="str">
        <f t="shared" si="172"/>
        <v/>
      </c>
      <c r="T220" s="48" t="str">
        <f t="shared" si="172"/>
        <v/>
      </c>
      <c r="U220" s="48" t="str">
        <f t="shared" si="172"/>
        <v/>
      </c>
      <c r="V220" s="48" t="str">
        <f t="shared" si="172"/>
        <v/>
      </c>
      <c r="W220" s="48" t="str">
        <f t="shared" si="172"/>
        <v/>
      </c>
      <c r="X220" s="48" t="str">
        <f t="shared" si="172"/>
        <v/>
      </c>
      <c r="Y220" s="48" t="str">
        <f t="shared" si="172"/>
        <v/>
      </c>
      <c r="Z220" s="48" t="str">
        <f t="shared" si="172"/>
        <v/>
      </c>
      <c r="AA220" s="48" t="str">
        <f t="shared" si="172"/>
        <v/>
      </c>
      <c r="AB220" s="48" t="str">
        <f t="shared" si="172"/>
        <v/>
      </c>
      <c r="AC220" s="48" t="str">
        <f t="shared" si="172"/>
        <v/>
      </c>
      <c r="AD220" s="48" t="str">
        <f t="shared" si="172"/>
        <v/>
      </c>
    </row>
    <row r="221" spans="1:30" ht="13.5" customHeight="1">
      <c r="A221" s="26"/>
      <c r="B221" s="26"/>
      <c r="C221" s="26"/>
      <c r="D221" s="49" t="str">
        <f t="shared" ref="D221:P221" si="173">IF(D220="","",IF(D220=$R220,1,IF(D220=$S220,2,IF(D220=$T220,3,IF(D220=$U220,4,IF(D220=$V220,5,IF(D220=$W220,6,IF(D220=$X220,7,IF(D220=$Y220,8,IF(D220=$Z220,9,IF(D220=$AA220,10,IF(D220=$AB220,11,IF(D220=$AC220,12,IF(D220=$AD220,13))))))))))))))</f>
        <v/>
      </c>
      <c r="E221" s="49" t="str">
        <f t="shared" si="173"/>
        <v/>
      </c>
      <c r="F221" s="49" t="str">
        <f t="shared" si="173"/>
        <v/>
      </c>
      <c r="G221" s="49" t="str">
        <f t="shared" si="173"/>
        <v/>
      </c>
      <c r="H221" s="49" t="str">
        <f t="shared" si="173"/>
        <v/>
      </c>
      <c r="I221" s="49" t="str">
        <f t="shared" si="173"/>
        <v/>
      </c>
      <c r="J221" s="49" t="str">
        <f t="shared" si="173"/>
        <v/>
      </c>
      <c r="K221" s="49" t="str">
        <f t="shared" si="173"/>
        <v/>
      </c>
      <c r="L221" s="49" t="str">
        <f t="shared" si="173"/>
        <v/>
      </c>
      <c r="M221" s="49" t="str">
        <f t="shared" si="173"/>
        <v/>
      </c>
      <c r="N221" s="49" t="str">
        <f t="shared" si="173"/>
        <v/>
      </c>
      <c r="O221" s="49" t="str">
        <f t="shared" si="173"/>
        <v/>
      </c>
      <c r="P221" s="49" t="str">
        <f t="shared" si="173"/>
        <v/>
      </c>
      <c r="Q221" s="43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</row>
    <row r="222" spans="1:30" ht="13.5" customHeight="1">
      <c r="A222" s="26"/>
      <c r="B222" s="26"/>
      <c r="C222" s="26"/>
      <c r="D222" s="48" t="str">
        <f>IF(Tracking!J186="","",IF(Person!$C$20="m",ABS((Tracking!J186/4-D$45)),ABS((Tracking!J186/4-D$48))))</f>
        <v/>
      </c>
      <c r="E222" s="48" t="str">
        <f>IF(Tracking!K186="","",IF(Person!$C$20="m",ABS((Tracking!K186/4-E$45)),ABS((Tracking!K186/4-E$48))))</f>
        <v/>
      </c>
      <c r="F222" s="48" t="str">
        <f>IF(Tracking!L186="","",IF(Person!$C$20="m",ABS((Tracking!L186/4-F$45)),ABS((Tracking!L186/4-F$48))))</f>
        <v/>
      </c>
      <c r="G222" s="48" t="str">
        <f>IF(Tracking!M186="","",IF(Person!$C$20="m",ABS((Tracking!M186/4-G$45)),ABS((Tracking!M186/4-G$48))))</f>
        <v/>
      </c>
      <c r="H222" s="48" t="str">
        <f>IF(Tracking!N186="","",IF(Person!$C$20="m",ABS((Tracking!N186/4-H$45)),ABS((Tracking!N186/4-H$48))))</f>
        <v/>
      </c>
      <c r="I222" s="48" t="str">
        <f>IF(Tracking!O186="","",IF(Person!$C$20="m",ABS((Tracking!O186/4-I$45)),ABS((Tracking!O186/4-I$48))))</f>
        <v/>
      </c>
      <c r="J222" s="48" t="str">
        <f>IF(Tracking!P186="","",IF(Person!$C$20="m",ABS((Tracking!P186/4-J$45)),ABS((Tracking!P186/4-J$48))))</f>
        <v/>
      </c>
      <c r="K222" s="48" t="str">
        <f>IF(Tracking!Q186="","",IF(Person!$C$20="m",ABS((Tracking!Q186/4-K$45)),ABS((Tracking!Q186/4-K$48))))</f>
        <v/>
      </c>
      <c r="L222" s="48" t="str">
        <f>IF(Tracking!R186="","",IF(Person!$C$20="m",ABS((Tracking!R186/4-L$45)),ABS((Tracking!R186/4-L$48))))</f>
        <v/>
      </c>
      <c r="M222" s="48" t="str">
        <f>IF(Tracking!S186="","",IF(Person!$C$20="m",ABS((Tracking!S186/4-M$45)),ABS((Tracking!S186/4-M$48))))</f>
        <v/>
      </c>
      <c r="N222" s="48" t="str">
        <f>IF(Tracking!T186="","",IF(Person!$C$20="m",ABS((Tracking!T186/4-N$45)),ABS((Tracking!T186/4-N$48))))</f>
        <v/>
      </c>
      <c r="O222" s="48" t="str">
        <f>IF(Tracking!U186="","",IF(Person!$C$20="m",ABS((Tracking!U186/4-O$45)),ABS((Tracking!U186/4-O$48))))</f>
        <v/>
      </c>
      <c r="P222" s="48" t="str">
        <f>IF(Tracking!V186="","",IF(Person!$C$20="m",ABS((Tracking!V186/4-P$45)),ABS((Tracking!V186/4-P$48))))</f>
        <v/>
      </c>
      <c r="Q222" s="43"/>
      <c r="R222" s="48" t="str">
        <f t="shared" ref="R222:AD222" si="174">IF(ISERROR(LARGE($D222:$P222,R$44)),"",LARGE($D222:$P222,R$44))</f>
        <v/>
      </c>
      <c r="S222" s="48" t="str">
        <f t="shared" si="174"/>
        <v/>
      </c>
      <c r="T222" s="48" t="str">
        <f t="shared" si="174"/>
        <v/>
      </c>
      <c r="U222" s="48" t="str">
        <f t="shared" si="174"/>
        <v/>
      </c>
      <c r="V222" s="48" t="str">
        <f t="shared" si="174"/>
        <v/>
      </c>
      <c r="W222" s="48" t="str">
        <f t="shared" si="174"/>
        <v/>
      </c>
      <c r="X222" s="48" t="str">
        <f t="shared" si="174"/>
        <v/>
      </c>
      <c r="Y222" s="48" t="str">
        <f t="shared" si="174"/>
        <v/>
      </c>
      <c r="Z222" s="48" t="str">
        <f t="shared" si="174"/>
        <v/>
      </c>
      <c r="AA222" s="48" t="str">
        <f t="shared" si="174"/>
        <v/>
      </c>
      <c r="AB222" s="48" t="str">
        <f t="shared" si="174"/>
        <v/>
      </c>
      <c r="AC222" s="48" t="str">
        <f t="shared" si="174"/>
        <v/>
      </c>
      <c r="AD222" s="48" t="str">
        <f t="shared" si="174"/>
        <v/>
      </c>
    </row>
    <row r="223" spans="1:30" ht="13.5" customHeight="1">
      <c r="A223" s="26"/>
      <c r="B223" s="26"/>
      <c r="C223" s="26"/>
      <c r="D223" s="49" t="str">
        <f t="shared" ref="D223:P223" si="175">IF(D222="","",IF(D222=$R222,1,IF(D222=$S222,2,IF(D222=$T222,3,IF(D222=$U222,4,IF(D222=$V222,5,IF(D222=$W222,6,IF(D222=$X222,7,IF(D222=$Y222,8,IF(D222=$Z222,9,IF(D222=$AA222,10,IF(D222=$AB222,11,IF(D222=$AC222,12,IF(D222=$AD222,13))))))))))))))</f>
        <v/>
      </c>
      <c r="E223" s="49" t="str">
        <f t="shared" si="175"/>
        <v/>
      </c>
      <c r="F223" s="49" t="str">
        <f t="shared" si="175"/>
        <v/>
      </c>
      <c r="G223" s="49" t="str">
        <f t="shared" si="175"/>
        <v/>
      </c>
      <c r="H223" s="49" t="str">
        <f t="shared" si="175"/>
        <v/>
      </c>
      <c r="I223" s="49" t="str">
        <f t="shared" si="175"/>
        <v/>
      </c>
      <c r="J223" s="49" t="str">
        <f t="shared" si="175"/>
        <v/>
      </c>
      <c r="K223" s="49" t="str">
        <f t="shared" si="175"/>
        <v/>
      </c>
      <c r="L223" s="49" t="str">
        <f t="shared" si="175"/>
        <v/>
      </c>
      <c r="M223" s="49" t="str">
        <f t="shared" si="175"/>
        <v/>
      </c>
      <c r="N223" s="49" t="str">
        <f t="shared" si="175"/>
        <v/>
      </c>
      <c r="O223" s="49" t="str">
        <f t="shared" si="175"/>
        <v/>
      </c>
      <c r="P223" s="49" t="str">
        <f t="shared" si="175"/>
        <v/>
      </c>
      <c r="Q223" s="43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</row>
    <row r="224" spans="1:30" ht="13.5" customHeight="1">
      <c r="A224" s="26"/>
      <c r="B224" s="26"/>
      <c r="C224" s="26"/>
      <c r="D224" s="48" t="str">
        <f>IF(Tracking!J188="","",IF(Person!$C$20="m",ABS((Tracking!J188/4-D$45)),ABS((Tracking!J188/4-D$48))))</f>
        <v/>
      </c>
      <c r="E224" s="48" t="str">
        <f>IF(Tracking!K188="","",IF(Person!$C$20="m",ABS((Tracking!K188/4-E$45)),ABS((Tracking!K188/4-E$48))))</f>
        <v/>
      </c>
      <c r="F224" s="48" t="str">
        <f>IF(Tracking!L188="","",IF(Person!$C$20="m",ABS((Tracking!L188/4-F$45)),ABS((Tracking!L188/4-F$48))))</f>
        <v/>
      </c>
      <c r="G224" s="48" t="str">
        <f>IF(Tracking!M188="","",IF(Person!$C$20="m",ABS((Tracking!M188/4-G$45)),ABS((Tracking!M188/4-G$48))))</f>
        <v/>
      </c>
      <c r="H224" s="48" t="str">
        <f>IF(Tracking!N188="","",IF(Person!$C$20="m",ABS((Tracking!N188/4-H$45)),ABS((Tracking!N188/4-H$48))))</f>
        <v/>
      </c>
      <c r="I224" s="48" t="str">
        <f>IF(Tracking!O188="","",IF(Person!$C$20="m",ABS((Tracking!O188/4-I$45)),ABS((Tracking!O188/4-I$48))))</f>
        <v/>
      </c>
      <c r="J224" s="48" t="str">
        <f>IF(Tracking!P188="","",IF(Person!$C$20="m",ABS((Tracking!P188/4-J$45)),ABS((Tracking!P188/4-J$48))))</f>
        <v/>
      </c>
      <c r="K224" s="48" t="str">
        <f>IF(Tracking!Q188="","",IF(Person!$C$20="m",ABS((Tracking!Q188/4-K$45)),ABS((Tracking!Q188/4-K$48))))</f>
        <v/>
      </c>
      <c r="L224" s="48" t="str">
        <f>IF(Tracking!R188="","",IF(Person!$C$20="m",ABS((Tracking!R188/4-L$45)),ABS((Tracking!R188/4-L$48))))</f>
        <v/>
      </c>
      <c r="M224" s="48" t="str">
        <f>IF(Tracking!S188="","",IF(Person!$C$20="m",ABS((Tracking!S188/4-M$45)),ABS((Tracking!S188/4-M$48))))</f>
        <v/>
      </c>
      <c r="N224" s="48" t="str">
        <f>IF(Tracking!T188="","",IF(Person!$C$20="m",ABS((Tracking!T188/4-N$45)),ABS((Tracking!T188/4-N$48))))</f>
        <v/>
      </c>
      <c r="O224" s="48" t="str">
        <f>IF(Tracking!U188="","",IF(Person!$C$20="m",ABS((Tracking!U188/4-O$45)),ABS((Tracking!U188/4-O$48))))</f>
        <v/>
      </c>
      <c r="P224" s="48" t="str">
        <f>IF(Tracking!V188="","",IF(Person!$C$20="m",ABS((Tracking!V188/4-P$45)),ABS((Tracking!V188/4-P$48))))</f>
        <v/>
      </c>
      <c r="Q224" s="43"/>
      <c r="R224" s="48" t="str">
        <f t="shared" ref="R224:AD224" si="176">IF(ISERROR(LARGE($D224:$P224,R$44)),"",LARGE($D224:$P224,R$44))</f>
        <v/>
      </c>
      <c r="S224" s="48" t="str">
        <f t="shared" si="176"/>
        <v/>
      </c>
      <c r="T224" s="48" t="str">
        <f t="shared" si="176"/>
        <v/>
      </c>
      <c r="U224" s="48" t="str">
        <f t="shared" si="176"/>
        <v/>
      </c>
      <c r="V224" s="48" t="str">
        <f t="shared" si="176"/>
        <v/>
      </c>
      <c r="W224" s="48" t="str">
        <f t="shared" si="176"/>
        <v/>
      </c>
      <c r="X224" s="48" t="str">
        <f t="shared" si="176"/>
        <v/>
      </c>
      <c r="Y224" s="48" t="str">
        <f t="shared" si="176"/>
        <v/>
      </c>
      <c r="Z224" s="48" t="str">
        <f t="shared" si="176"/>
        <v/>
      </c>
      <c r="AA224" s="48" t="str">
        <f t="shared" si="176"/>
        <v/>
      </c>
      <c r="AB224" s="48" t="str">
        <f t="shared" si="176"/>
        <v/>
      </c>
      <c r="AC224" s="48" t="str">
        <f t="shared" si="176"/>
        <v/>
      </c>
      <c r="AD224" s="48" t="str">
        <f t="shared" si="176"/>
        <v/>
      </c>
    </row>
    <row r="225" spans="1:30" ht="13.5" customHeight="1">
      <c r="A225" s="26"/>
      <c r="B225" s="26"/>
      <c r="C225" s="26"/>
      <c r="D225" s="49" t="str">
        <f t="shared" ref="D225:P225" si="177">IF(D224="","",IF(D224=$R224,1,IF(D224=$S224,2,IF(D224=$T224,3,IF(D224=$U224,4,IF(D224=$V224,5,IF(D224=$W224,6,IF(D224=$X224,7,IF(D224=$Y224,8,IF(D224=$Z224,9,IF(D224=$AA224,10,IF(D224=$AB224,11,IF(D224=$AC224,12,IF(D224=$AD224,13))))))))))))))</f>
        <v/>
      </c>
      <c r="E225" s="49" t="str">
        <f t="shared" si="177"/>
        <v/>
      </c>
      <c r="F225" s="49" t="str">
        <f t="shared" si="177"/>
        <v/>
      </c>
      <c r="G225" s="49" t="str">
        <f t="shared" si="177"/>
        <v/>
      </c>
      <c r="H225" s="49" t="str">
        <f t="shared" si="177"/>
        <v/>
      </c>
      <c r="I225" s="49" t="str">
        <f t="shared" si="177"/>
        <v/>
      </c>
      <c r="J225" s="49" t="str">
        <f t="shared" si="177"/>
        <v/>
      </c>
      <c r="K225" s="49" t="str">
        <f t="shared" si="177"/>
        <v/>
      </c>
      <c r="L225" s="49" t="str">
        <f t="shared" si="177"/>
        <v/>
      </c>
      <c r="M225" s="49" t="str">
        <f t="shared" si="177"/>
        <v/>
      </c>
      <c r="N225" s="49" t="str">
        <f t="shared" si="177"/>
        <v/>
      </c>
      <c r="O225" s="49" t="str">
        <f t="shared" si="177"/>
        <v/>
      </c>
      <c r="P225" s="49" t="str">
        <f t="shared" si="177"/>
        <v/>
      </c>
      <c r="Q225" s="43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</row>
    <row r="226" spans="1:30" ht="13.5" customHeight="1">
      <c r="A226" s="26"/>
      <c r="B226" s="26"/>
      <c r="C226" s="26"/>
      <c r="D226" s="48" t="str">
        <f>IF(Tracking!J190="","",IF(Person!$C$20="m",ABS((Tracking!J190/4-D$45)),ABS((Tracking!J190/4-D$48))))</f>
        <v/>
      </c>
      <c r="E226" s="48" t="str">
        <f>IF(Tracking!K190="","",IF(Person!$C$20="m",ABS((Tracking!K190/4-E$45)),ABS((Tracking!K190/4-E$48))))</f>
        <v/>
      </c>
      <c r="F226" s="48" t="str">
        <f>IF(Tracking!L190="","",IF(Person!$C$20="m",ABS((Tracking!L190/4-F$45)),ABS((Tracking!L190/4-F$48))))</f>
        <v/>
      </c>
      <c r="G226" s="48" t="str">
        <f>IF(Tracking!M190="","",IF(Person!$C$20="m",ABS((Tracking!M190/4-G$45)),ABS((Tracking!M190/4-G$48))))</f>
        <v/>
      </c>
      <c r="H226" s="48" t="str">
        <f>IF(Tracking!N190="","",IF(Person!$C$20="m",ABS((Tracking!N190/4-H$45)),ABS((Tracking!N190/4-H$48))))</f>
        <v/>
      </c>
      <c r="I226" s="48" t="str">
        <f>IF(Tracking!O190="","",IF(Person!$C$20="m",ABS((Tracking!O190/4-I$45)),ABS((Tracking!O190/4-I$48))))</f>
        <v/>
      </c>
      <c r="J226" s="48" t="str">
        <f>IF(Tracking!P190="","",IF(Person!$C$20="m",ABS((Tracking!P190/4-J$45)),ABS((Tracking!P190/4-J$48))))</f>
        <v/>
      </c>
      <c r="K226" s="48" t="str">
        <f>IF(Tracking!Q190="","",IF(Person!$C$20="m",ABS((Tracking!Q190/4-K$45)),ABS((Tracking!Q190/4-K$48))))</f>
        <v/>
      </c>
      <c r="L226" s="48" t="str">
        <f>IF(Tracking!R190="","",IF(Person!$C$20="m",ABS((Tracking!R190/4-L$45)),ABS((Tracking!R190/4-L$48))))</f>
        <v/>
      </c>
      <c r="M226" s="48" t="str">
        <f>IF(Tracking!S190="","",IF(Person!$C$20="m",ABS((Tracking!S190/4-M$45)),ABS((Tracking!S190/4-M$48))))</f>
        <v/>
      </c>
      <c r="N226" s="48" t="str">
        <f>IF(Tracking!T190="","",IF(Person!$C$20="m",ABS((Tracking!T190/4-N$45)),ABS((Tracking!T190/4-N$48))))</f>
        <v/>
      </c>
      <c r="O226" s="48" t="str">
        <f>IF(Tracking!U190="","",IF(Person!$C$20="m",ABS((Tracking!U190/4-O$45)),ABS((Tracking!U190/4-O$48))))</f>
        <v/>
      </c>
      <c r="P226" s="48" t="str">
        <f>IF(Tracking!V190="","",IF(Person!$C$20="m",ABS((Tracking!V190/4-P$45)),ABS((Tracking!V190/4-P$48))))</f>
        <v/>
      </c>
      <c r="Q226" s="43"/>
      <c r="R226" s="48" t="str">
        <f t="shared" ref="R226:AD226" si="178">IF(ISERROR(LARGE($D226:$P226,R$44)),"",LARGE($D226:$P226,R$44))</f>
        <v/>
      </c>
      <c r="S226" s="48" t="str">
        <f t="shared" si="178"/>
        <v/>
      </c>
      <c r="T226" s="48" t="str">
        <f t="shared" si="178"/>
        <v/>
      </c>
      <c r="U226" s="48" t="str">
        <f t="shared" si="178"/>
        <v/>
      </c>
      <c r="V226" s="48" t="str">
        <f t="shared" si="178"/>
        <v/>
      </c>
      <c r="W226" s="48" t="str">
        <f t="shared" si="178"/>
        <v/>
      </c>
      <c r="X226" s="48" t="str">
        <f t="shared" si="178"/>
        <v/>
      </c>
      <c r="Y226" s="48" t="str">
        <f t="shared" si="178"/>
        <v/>
      </c>
      <c r="Z226" s="48" t="str">
        <f t="shared" si="178"/>
        <v/>
      </c>
      <c r="AA226" s="48" t="str">
        <f t="shared" si="178"/>
        <v/>
      </c>
      <c r="AB226" s="48" t="str">
        <f t="shared" si="178"/>
        <v/>
      </c>
      <c r="AC226" s="48" t="str">
        <f t="shared" si="178"/>
        <v/>
      </c>
      <c r="AD226" s="48" t="str">
        <f t="shared" si="178"/>
        <v/>
      </c>
    </row>
    <row r="227" spans="1:30" ht="13.5" customHeight="1">
      <c r="A227" s="26"/>
      <c r="B227" s="26"/>
      <c r="C227" s="26"/>
      <c r="D227" s="49" t="str">
        <f t="shared" ref="D227:P227" si="179">IF(D226="","",IF(D226=$R226,1,IF(D226=$S226,2,IF(D226=$T226,3,IF(D226=$U226,4,IF(D226=$V226,5,IF(D226=$W226,6,IF(D226=$X226,7,IF(D226=$Y226,8,IF(D226=$Z226,9,IF(D226=$AA226,10,IF(D226=$AB226,11,IF(D226=$AC226,12,IF(D226=$AD226,13))))))))))))))</f>
        <v/>
      </c>
      <c r="E227" s="49" t="str">
        <f t="shared" si="179"/>
        <v/>
      </c>
      <c r="F227" s="49" t="str">
        <f t="shared" si="179"/>
        <v/>
      </c>
      <c r="G227" s="49" t="str">
        <f t="shared" si="179"/>
        <v/>
      </c>
      <c r="H227" s="49" t="str">
        <f t="shared" si="179"/>
        <v/>
      </c>
      <c r="I227" s="49" t="str">
        <f t="shared" si="179"/>
        <v/>
      </c>
      <c r="J227" s="49" t="str">
        <f t="shared" si="179"/>
        <v/>
      </c>
      <c r="K227" s="49" t="str">
        <f t="shared" si="179"/>
        <v/>
      </c>
      <c r="L227" s="49" t="str">
        <f t="shared" si="179"/>
        <v/>
      </c>
      <c r="M227" s="49" t="str">
        <f t="shared" si="179"/>
        <v/>
      </c>
      <c r="N227" s="49" t="str">
        <f t="shared" si="179"/>
        <v/>
      </c>
      <c r="O227" s="49" t="str">
        <f t="shared" si="179"/>
        <v/>
      </c>
      <c r="P227" s="49" t="str">
        <f t="shared" si="179"/>
        <v/>
      </c>
      <c r="Q227" s="43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</row>
    <row r="228" spans="1:30" ht="13.5" customHeight="1">
      <c r="A228" s="26"/>
      <c r="B228" s="26"/>
      <c r="C228" s="26"/>
      <c r="D228" s="48" t="str">
        <f>IF(Tracking!J192="","",IF(Person!$C$20="m",ABS((Tracking!J192/4-D$45)),ABS((Tracking!J192/4-D$48))))</f>
        <v/>
      </c>
      <c r="E228" s="48" t="str">
        <f>IF(Tracking!K192="","",IF(Person!$C$20="m",ABS((Tracking!K192/4-E$45)),ABS((Tracking!K192/4-E$48))))</f>
        <v/>
      </c>
      <c r="F228" s="48" t="str">
        <f>IF(Tracking!L192="","",IF(Person!$C$20="m",ABS((Tracking!L192/4-F$45)),ABS((Tracking!L192/4-F$48))))</f>
        <v/>
      </c>
      <c r="G228" s="48" t="str">
        <f>IF(Tracking!M192="","",IF(Person!$C$20="m",ABS((Tracking!M192/4-G$45)),ABS((Tracking!M192/4-G$48))))</f>
        <v/>
      </c>
      <c r="H228" s="48" t="str">
        <f>IF(Tracking!N192="","",IF(Person!$C$20="m",ABS((Tracking!N192/4-H$45)),ABS((Tracking!N192/4-H$48))))</f>
        <v/>
      </c>
      <c r="I228" s="48" t="str">
        <f>IF(Tracking!O192="","",IF(Person!$C$20="m",ABS((Tracking!O192/4-I$45)),ABS((Tracking!O192/4-I$48))))</f>
        <v/>
      </c>
      <c r="J228" s="48" t="str">
        <f>IF(Tracking!P192="","",IF(Person!$C$20="m",ABS((Tracking!P192/4-J$45)),ABS((Tracking!P192/4-J$48))))</f>
        <v/>
      </c>
      <c r="K228" s="48" t="str">
        <f>IF(Tracking!Q192="","",IF(Person!$C$20="m",ABS((Tracking!Q192/4-K$45)),ABS((Tracking!Q192/4-K$48))))</f>
        <v/>
      </c>
      <c r="L228" s="48" t="str">
        <f>IF(Tracking!R192="","",IF(Person!$C$20="m",ABS((Tracking!R192/4-L$45)),ABS((Tracking!R192/4-L$48))))</f>
        <v/>
      </c>
      <c r="M228" s="48" t="str">
        <f>IF(Tracking!S192="","",IF(Person!$C$20="m",ABS((Tracking!S192/4-M$45)),ABS((Tracking!S192/4-M$48))))</f>
        <v/>
      </c>
      <c r="N228" s="48" t="str">
        <f>IF(Tracking!T192="","",IF(Person!$C$20="m",ABS((Tracking!T192/4-N$45)),ABS((Tracking!T192/4-N$48))))</f>
        <v/>
      </c>
      <c r="O228" s="48" t="str">
        <f>IF(Tracking!U192="","",IF(Person!$C$20="m",ABS((Tracking!U192/4-O$45)),ABS((Tracking!U192/4-O$48))))</f>
        <v/>
      </c>
      <c r="P228" s="48" t="str">
        <f>IF(Tracking!V192="","",IF(Person!$C$20="m",ABS((Tracking!V192/4-P$45)),ABS((Tracking!V192/4-P$48))))</f>
        <v/>
      </c>
      <c r="Q228" s="43"/>
      <c r="R228" s="48" t="str">
        <f t="shared" ref="R228:AD228" si="180">IF(ISERROR(LARGE($D228:$P228,R$44)),"",LARGE($D228:$P228,R$44))</f>
        <v/>
      </c>
      <c r="S228" s="48" t="str">
        <f t="shared" si="180"/>
        <v/>
      </c>
      <c r="T228" s="48" t="str">
        <f t="shared" si="180"/>
        <v/>
      </c>
      <c r="U228" s="48" t="str">
        <f t="shared" si="180"/>
        <v/>
      </c>
      <c r="V228" s="48" t="str">
        <f t="shared" si="180"/>
        <v/>
      </c>
      <c r="W228" s="48" t="str">
        <f t="shared" si="180"/>
        <v/>
      </c>
      <c r="X228" s="48" t="str">
        <f t="shared" si="180"/>
        <v/>
      </c>
      <c r="Y228" s="48" t="str">
        <f t="shared" si="180"/>
        <v/>
      </c>
      <c r="Z228" s="48" t="str">
        <f t="shared" si="180"/>
        <v/>
      </c>
      <c r="AA228" s="48" t="str">
        <f t="shared" si="180"/>
        <v/>
      </c>
      <c r="AB228" s="48" t="str">
        <f t="shared" si="180"/>
        <v/>
      </c>
      <c r="AC228" s="48" t="str">
        <f t="shared" si="180"/>
        <v/>
      </c>
      <c r="AD228" s="48" t="str">
        <f t="shared" si="180"/>
        <v/>
      </c>
    </row>
    <row r="229" spans="1:30" ht="13.5" customHeight="1">
      <c r="A229" s="26"/>
      <c r="B229" s="26"/>
      <c r="C229" s="26"/>
      <c r="D229" s="49" t="str">
        <f t="shared" ref="D229:P229" si="181">IF(D228="","",IF(D228=$R228,1,IF(D228=$S228,2,IF(D228=$T228,3,IF(D228=$U228,4,IF(D228=$V228,5,IF(D228=$W228,6,IF(D228=$X228,7,IF(D228=$Y228,8,IF(D228=$Z228,9,IF(D228=$AA228,10,IF(D228=$AB228,11,IF(D228=$AC228,12,IF(D228=$AD228,13))))))))))))))</f>
        <v/>
      </c>
      <c r="E229" s="49" t="str">
        <f t="shared" si="181"/>
        <v/>
      </c>
      <c r="F229" s="49" t="str">
        <f t="shared" si="181"/>
        <v/>
      </c>
      <c r="G229" s="49" t="str">
        <f t="shared" si="181"/>
        <v/>
      </c>
      <c r="H229" s="49" t="str">
        <f t="shared" si="181"/>
        <v/>
      </c>
      <c r="I229" s="49" t="str">
        <f t="shared" si="181"/>
        <v/>
      </c>
      <c r="J229" s="49" t="str">
        <f t="shared" si="181"/>
        <v/>
      </c>
      <c r="K229" s="49" t="str">
        <f t="shared" si="181"/>
        <v/>
      </c>
      <c r="L229" s="49" t="str">
        <f t="shared" si="181"/>
        <v/>
      </c>
      <c r="M229" s="49" t="str">
        <f t="shared" si="181"/>
        <v/>
      </c>
      <c r="N229" s="49" t="str">
        <f t="shared" si="181"/>
        <v/>
      </c>
      <c r="O229" s="49" t="str">
        <f t="shared" si="181"/>
        <v/>
      </c>
      <c r="P229" s="49" t="str">
        <f t="shared" si="181"/>
        <v/>
      </c>
      <c r="Q229" s="43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</row>
    <row r="230" spans="1:30" ht="13.5" customHeight="1">
      <c r="A230" s="26"/>
      <c r="B230" s="26"/>
      <c r="C230" s="26"/>
      <c r="D230" s="48" t="str">
        <f>IF(Tracking!J194="","",IF(Person!$C$20="m",ABS((Tracking!J194/4-D$45)),ABS((Tracking!J194/4-D$48))))</f>
        <v/>
      </c>
      <c r="E230" s="48" t="str">
        <f>IF(Tracking!K194="","",IF(Person!$C$20="m",ABS((Tracking!K194/4-E$45)),ABS((Tracking!K194/4-E$48))))</f>
        <v/>
      </c>
      <c r="F230" s="48" t="str">
        <f>IF(Tracking!L194="","",IF(Person!$C$20="m",ABS((Tracking!L194/4-F$45)),ABS((Tracking!L194/4-F$48))))</f>
        <v/>
      </c>
      <c r="G230" s="48" t="str">
        <f>IF(Tracking!M194="","",IF(Person!$C$20="m",ABS((Tracking!M194/4-G$45)),ABS((Tracking!M194/4-G$48))))</f>
        <v/>
      </c>
      <c r="H230" s="48" t="str">
        <f>IF(Tracking!N194="","",IF(Person!$C$20="m",ABS((Tracking!N194/4-H$45)),ABS((Tracking!N194/4-H$48))))</f>
        <v/>
      </c>
      <c r="I230" s="48" t="str">
        <f>IF(Tracking!O194="","",IF(Person!$C$20="m",ABS((Tracking!O194/4-I$45)),ABS((Tracking!O194/4-I$48))))</f>
        <v/>
      </c>
      <c r="J230" s="48" t="str">
        <f>IF(Tracking!P194="","",IF(Person!$C$20="m",ABS((Tracking!P194/4-J$45)),ABS((Tracking!P194/4-J$48))))</f>
        <v/>
      </c>
      <c r="K230" s="48" t="str">
        <f>IF(Tracking!Q194="","",IF(Person!$C$20="m",ABS((Tracking!Q194/4-K$45)),ABS((Tracking!Q194/4-K$48))))</f>
        <v/>
      </c>
      <c r="L230" s="48" t="str">
        <f>IF(Tracking!R194="","",IF(Person!$C$20="m",ABS((Tracking!R194/4-L$45)),ABS((Tracking!R194/4-L$48))))</f>
        <v/>
      </c>
      <c r="M230" s="48" t="str">
        <f>IF(Tracking!S194="","",IF(Person!$C$20="m",ABS((Tracking!S194/4-M$45)),ABS((Tracking!S194/4-M$48))))</f>
        <v/>
      </c>
      <c r="N230" s="48" t="str">
        <f>IF(Tracking!T194="","",IF(Person!$C$20="m",ABS((Tracking!T194/4-N$45)),ABS((Tracking!T194/4-N$48))))</f>
        <v/>
      </c>
      <c r="O230" s="48" t="str">
        <f>IF(Tracking!U194="","",IF(Person!$C$20="m",ABS((Tracking!U194/4-O$45)),ABS((Tracking!U194/4-O$48))))</f>
        <v/>
      </c>
      <c r="P230" s="48" t="str">
        <f>IF(Tracking!V194="","",IF(Person!$C$20="m",ABS((Tracking!V194/4-P$45)),ABS((Tracking!V194/4-P$48))))</f>
        <v/>
      </c>
      <c r="Q230" s="43"/>
      <c r="R230" s="48" t="str">
        <f t="shared" ref="R230:AD230" si="182">IF(ISERROR(LARGE($D230:$P230,R$44)),"",LARGE($D230:$P230,R$44))</f>
        <v/>
      </c>
      <c r="S230" s="48" t="str">
        <f t="shared" si="182"/>
        <v/>
      </c>
      <c r="T230" s="48" t="str">
        <f t="shared" si="182"/>
        <v/>
      </c>
      <c r="U230" s="48" t="str">
        <f t="shared" si="182"/>
        <v/>
      </c>
      <c r="V230" s="48" t="str">
        <f t="shared" si="182"/>
        <v/>
      </c>
      <c r="W230" s="48" t="str">
        <f t="shared" si="182"/>
        <v/>
      </c>
      <c r="X230" s="48" t="str">
        <f t="shared" si="182"/>
        <v/>
      </c>
      <c r="Y230" s="48" t="str">
        <f t="shared" si="182"/>
        <v/>
      </c>
      <c r="Z230" s="48" t="str">
        <f t="shared" si="182"/>
        <v/>
      </c>
      <c r="AA230" s="48" t="str">
        <f t="shared" si="182"/>
        <v/>
      </c>
      <c r="AB230" s="48" t="str">
        <f t="shared" si="182"/>
        <v/>
      </c>
      <c r="AC230" s="48" t="str">
        <f t="shared" si="182"/>
        <v/>
      </c>
      <c r="AD230" s="48" t="str">
        <f t="shared" si="182"/>
        <v/>
      </c>
    </row>
    <row r="231" spans="1:30" ht="13.5" customHeight="1">
      <c r="A231" s="26"/>
      <c r="B231" s="26"/>
      <c r="C231" s="26"/>
      <c r="D231" s="49" t="str">
        <f t="shared" ref="D231:P231" si="183">IF(D230="","",IF(D230=$R230,1,IF(D230=$S230,2,IF(D230=$T230,3,IF(D230=$U230,4,IF(D230=$V230,5,IF(D230=$W230,6,IF(D230=$X230,7,IF(D230=$Y230,8,IF(D230=$Z230,9,IF(D230=$AA230,10,IF(D230=$AB230,11,IF(D230=$AC230,12,IF(D230=$AD230,13))))))))))))))</f>
        <v/>
      </c>
      <c r="E231" s="49" t="str">
        <f t="shared" si="183"/>
        <v/>
      </c>
      <c r="F231" s="49" t="str">
        <f t="shared" si="183"/>
        <v/>
      </c>
      <c r="G231" s="49" t="str">
        <f t="shared" si="183"/>
        <v/>
      </c>
      <c r="H231" s="49" t="str">
        <f t="shared" si="183"/>
        <v/>
      </c>
      <c r="I231" s="49" t="str">
        <f t="shared" si="183"/>
        <v/>
      </c>
      <c r="J231" s="49" t="str">
        <f t="shared" si="183"/>
        <v/>
      </c>
      <c r="K231" s="49" t="str">
        <f t="shared" si="183"/>
        <v/>
      </c>
      <c r="L231" s="49" t="str">
        <f t="shared" si="183"/>
        <v/>
      </c>
      <c r="M231" s="49" t="str">
        <f t="shared" si="183"/>
        <v/>
      </c>
      <c r="N231" s="49" t="str">
        <f t="shared" si="183"/>
        <v/>
      </c>
      <c r="O231" s="49" t="str">
        <f t="shared" si="183"/>
        <v/>
      </c>
      <c r="P231" s="49" t="str">
        <f t="shared" si="183"/>
        <v/>
      </c>
      <c r="Q231" s="43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</row>
    <row r="232" spans="1:30" ht="13.5" customHeight="1">
      <c r="A232" s="26"/>
      <c r="B232" s="26"/>
      <c r="C232" s="26"/>
      <c r="D232" s="48" t="str">
        <f>IF(Tracking!J196="","",IF(Person!$C$20="m",ABS((Tracking!J196/4-D$45)),ABS((Tracking!J196/4-D$48))))</f>
        <v/>
      </c>
      <c r="E232" s="48" t="str">
        <f>IF(Tracking!K196="","",IF(Person!$C$20="m",ABS((Tracking!K196/4-E$45)),ABS((Tracking!K196/4-E$48))))</f>
        <v/>
      </c>
      <c r="F232" s="48" t="str">
        <f>IF(Tracking!L196="","",IF(Person!$C$20="m",ABS((Tracking!L196/4-F$45)),ABS((Tracking!L196/4-F$48))))</f>
        <v/>
      </c>
      <c r="G232" s="48" t="str">
        <f>IF(Tracking!M196="","",IF(Person!$C$20="m",ABS((Tracking!M196/4-G$45)),ABS((Tracking!M196/4-G$48))))</f>
        <v/>
      </c>
      <c r="H232" s="48" t="str">
        <f>IF(Tracking!N196="","",IF(Person!$C$20="m",ABS((Tracking!N196/4-H$45)),ABS((Tracking!N196/4-H$48))))</f>
        <v/>
      </c>
      <c r="I232" s="48" t="str">
        <f>IF(Tracking!O196="","",IF(Person!$C$20="m",ABS((Tracking!O196/4-I$45)),ABS((Tracking!O196/4-I$48))))</f>
        <v/>
      </c>
      <c r="J232" s="48" t="str">
        <f>IF(Tracking!P196="","",IF(Person!$C$20="m",ABS((Tracking!P196/4-J$45)),ABS((Tracking!P196/4-J$48))))</f>
        <v/>
      </c>
      <c r="K232" s="48" t="str">
        <f>IF(Tracking!Q196="","",IF(Person!$C$20="m",ABS((Tracking!Q196/4-K$45)),ABS((Tracking!Q196/4-K$48))))</f>
        <v/>
      </c>
      <c r="L232" s="48" t="str">
        <f>IF(Tracking!R196="","",IF(Person!$C$20="m",ABS((Tracking!R196/4-L$45)),ABS((Tracking!R196/4-L$48))))</f>
        <v/>
      </c>
      <c r="M232" s="48" t="str">
        <f>IF(Tracking!S196="","",IF(Person!$C$20="m",ABS((Tracking!S196/4-M$45)),ABS((Tracking!S196/4-M$48))))</f>
        <v/>
      </c>
      <c r="N232" s="48" t="str">
        <f>IF(Tracking!T196="","",IF(Person!$C$20="m",ABS((Tracking!T196/4-N$45)),ABS((Tracking!T196/4-N$48))))</f>
        <v/>
      </c>
      <c r="O232" s="48" t="str">
        <f>IF(Tracking!U196="","",IF(Person!$C$20="m",ABS((Tracking!U196/4-O$45)),ABS((Tracking!U196/4-O$48))))</f>
        <v/>
      </c>
      <c r="P232" s="48" t="str">
        <f>IF(Tracking!V196="","",IF(Person!$C$20="m",ABS((Tracking!V196/4-P$45)),ABS((Tracking!V196/4-P$48))))</f>
        <v/>
      </c>
      <c r="Q232" s="43"/>
      <c r="R232" s="48" t="str">
        <f t="shared" ref="R232:AD232" si="184">IF(ISERROR(LARGE($D232:$P232,R$44)),"",LARGE($D232:$P232,R$44))</f>
        <v/>
      </c>
      <c r="S232" s="48" t="str">
        <f t="shared" si="184"/>
        <v/>
      </c>
      <c r="T232" s="48" t="str">
        <f t="shared" si="184"/>
        <v/>
      </c>
      <c r="U232" s="48" t="str">
        <f t="shared" si="184"/>
        <v/>
      </c>
      <c r="V232" s="48" t="str">
        <f t="shared" si="184"/>
        <v/>
      </c>
      <c r="W232" s="48" t="str">
        <f t="shared" si="184"/>
        <v/>
      </c>
      <c r="X232" s="48" t="str">
        <f t="shared" si="184"/>
        <v/>
      </c>
      <c r="Y232" s="48" t="str">
        <f t="shared" si="184"/>
        <v/>
      </c>
      <c r="Z232" s="48" t="str">
        <f t="shared" si="184"/>
        <v/>
      </c>
      <c r="AA232" s="48" t="str">
        <f t="shared" si="184"/>
        <v/>
      </c>
      <c r="AB232" s="48" t="str">
        <f t="shared" si="184"/>
        <v/>
      </c>
      <c r="AC232" s="48" t="str">
        <f t="shared" si="184"/>
        <v/>
      </c>
      <c r="AD232" s="48" t="str">
        <f t="shared" si="184"/>
        <v/>
      </c>
    </row>
    <row r="233" spans="1:30" ht="13.5" customHeight="1">
      <c r="A233" s="26"/>
      <c r="B233" s="26"/>
      <c r="C233" s="26"/>
      <c r="D233" s="49" t="str">
        <f t="shared" ref="D233:P233" si="185">IF(D232="","",IF(D232=$R232,1,IF(D232=$S232,2,IF(D232=$T232,3,IF(D232=$U232,4,IF(D232=$V232,5,IF(D232=$W232,6,IF(D232=$X232,7,IF(D232=$Y232,8,IF(D232=$Z232,9,IF(D232=$AA232,10,IF(D232=$AB232,11,IF(D232=$AC232,12,IF(D232=$AD232,13))))))))))))))</f>
        <v/>
      </c>
      <c r="E233" s="49" t="str">
        <f t="shared" si="185"/>
        <v/>
      </c>
      <c r="F233" s="49" t="str">
        <f t="shared" si="185"/>
        <v/>
      </c>
      <c r="G233" s="49" t="str">
        <f t="shared" si="185"/>
        <v/>
      </c>
      <c r="H233" s="49" t="str">
        <f t="shared" si="185"/>
        <v/>
      </c>
      <c r="I233" s="49" t="str">
        <f t="shared" si="185"/>
        <v/>
      </c>
      <c r="J233" s="49" t="str">
        <f t="shared" si="185"/>
        <v/>
      </c>
      <c r="K233" s="49" t="str">
        <f t="shared" si="185"/>
        <v/>
      </c>
      <c r="L233" s="49" t="str">
        <f t="shared" si="185"/>
        <v/>
      </c>
      <c r="M233" s="49" t="str">
        <f t="shared" si="185"/>
        <v/>
      </c>
      <c r="N233" s="49" t="str">
        <f t="shared" si="185"/>
        <v/>
      </c>
      <c r="O233" s="49" t="str">
        <f t="shared" si="185"/>
        <v/>
      </c>
      <c r="P233" s="49" t="str">
        <f t="shared" si="185"/>
        <v/>
      </c>
      <c r="Q233" s="43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</row>
    <row r="234" spans="1:30" ht="13.5" customHeight="1">
      <c r="A234" s="26"/>
      <c r="B234" s="26"/>
      <c r="C234" s="26"/>
      <c r="D234" s="48" t="str">
        <f>IF(Tracking!J198="","",IF(Person!$C$20="m",ABS((Tracking!J198/4-D$45)),ABS((Tracking!J198/4-D$48))))</f>
        <v/>
      </c>
      <c r="E234" s="48" t="str">
        <f>IF(Tracking!K198="","",IF(Person!$C$20="m",ABS((Tracking!K198/4-E$45)),ABS((Tracking!K198/4-E$48))))</f>
        <v/>
      </c>
      <c r="F234" s="48" t="str">
        <f>IF(Tracking!L198="","",IF(Person!$C$20="m",ABS((Tracking!L198/4-F$45)),ABS((Tracking!L198/4-F$48))))</f>
        <v/>
      </c>
      <c r="G234" s="48" t="str">
        <f>IF(Tracking!M198="","",IF(Person!$C$20="m",ABS((Tracking!M198/4-G$45)),ABS((Tracking!M198/4-G$48))))</f>
        <v/>
      </c>
      <c r="H234" s="48" t="str">
        <f>IF(Tracking!N198="","",IF(Person!$C$20="m",ABS((Tracking!N198/4-H$45)),ABS((Tracking!N198/4-H$48))))</f>
        <v/>
      </c>
      <c r="I234" s="48" t="str">
        <f>IF(Tracking!O198="","",IF(Person!$C$20="m",ABS((Tracking!O198/4-I$45)),ABS((Tracking!O198/4-I$48))))</f>
        <v/>
      </c>
      <c r="J234" s="48" t="str">
        <f>IF(Tracking!P198="","",IF(Person!$C$20="m",ABS((Tracking!P198/4-J$45)),ABS((Tracking!P198/4-J$48))))</f>
        <v/>
      </c>
      <c r="K234" s="48" t="str">
        <f>IF(Tracking!Q198="","",IF(Person!$C$20="m",ABS((Tracking!Q198/4-K$45)),ABS((Tracking!Q198/4-K$48))))</f>
        <v/>
      </c>
      <c r="L234" s="48" t="str">
        <f>IF(Tracking!R198="","",IF(Person!$C$20="m",ABS((Tracking!R198/4-L$45)),ABS((Tracking!R198/4-L$48))))</f>
        <v/>
      </c>
      <c r="M234" s="48" t="str">
        <f>IF(Tracking!S198="","",IF(Person!$C$20="m",ABS((Tracking!S198/4-M$45)),ABS((Tracking!S198/4-M$48))))</f>
        <v/>
      </c>
      <c r="N234" s="48" t="str">
        <f>IF(Tracking!T198="","",IF(Person!$C$20="m",ABS((Tracking!T198/4-N$45)),ABS((Tracking!T198/4-N$48))))</f>
        <v/>
      </c>
      <c r="O234" s="48" t="str">
        <f>IF(Tracking!U198="","",IF(Person!$C$20="m",ABS((Tracking!U198/4-O$45)),ABS((Tracking!U198/4-O$48))))</f>
        <v/>
      </c>
      <c r="P234" s="48" t="str">
        <f>IF(Tracking!V198="","",IF(Person!$C$20="m",ABS((Tracking!V198/4-P$45)),ABS((Tracking!V198/4-P$48))))</f>
        <v/>
      </c>
      <c r="Q234" s="43"/>
      <c r="R234" s="48" t="str">
        <f t="shared" ref="R234:AD234" si="186">IF(ISERROR(LARGE($D234:$P234,R$44)),"",LARGE($D234:$P234,R$44))</f>
        <v/>
      </c>
      <c r="S234" s="48" t="str">
        <f t="shared" si="186"/>
        <v/>
      </c>
      <c r="T234" s="48" t="str">
        <f t="shared" si="186"/>
        <v/>
      </c>
      <c r="U234" s="48" t="str">
        <f t="shared" si="186"/>
        <v/>
      </c>
      <c r="V234" s="48" t="str">
        <f t="shared" si="186"/>
        <v/>
      </c>
      <c r="W234" s="48" t="str">
        <f t="shared" si="186"/>
        <v/>
      </c>
      <c r="X234" s="48" t="str">
        <f t="shared" si="186"/>
        <v/>
      </c>
      <c r="Y234" s="48" t="str">
        <f t="shared" si="186"/>
        <v/>
      </c>
      <c r="Z234" s="48" t="str">
        <f t="shared" si="186"/>
        <v/>
      </c>
      <c r="AA234" s="48" t="str">
        <f t="shared" si="186"/>
        <v/>
      </c>
      <c r="AB234" s="48" t="str">
        <f t="shared" si="186"/>
        <v/>
      </c>
      <c r="AC234" s="48" t="str">
        <f t="shared" si="186"/>
        <v/>
      </c>
      <c r="AD234" s="48" t="str">
        <f t="shared" si="186"/>
        <v/>
      </c>
    </row>
    <row r="235" spans="1:30" ht="13.5" customHeight="1">
      <c r="A235" s="26"/>
      <c r="B235" s="26"/>
      <c r="C235" s="26"/>
      <c r="D235" s="49" t="str">
        <f t="shared" ref="D235:P235" si="187">IF(D234="","",IF(D234=$R234,1,IF(D234=$S234,2,IF(D234=$T234,3,IF(D234=$U234,4,IF(D234=$V234,5,IF(D234=$W234,6,IF(D234=$X234,7,IF(D234=$Y234,8,IF(D234=$Z234,9,IF(D234=$AA234,10,IF(D234=$AB234,11,IF(D234=$AC234,12,IF(D234=$AD234,13))))))))))))))</f>
        <v/>
      </c>
      <c r="E235" s="49" t="str">
        <f t="shared" si="187"/>
        <v/>
      </c>
      <c r="F235" s="49" t="str">
        <f t="shared" si="187"/>
        <v/>
      </c>
      <c r="G235" s="49" t="str">
        <f t="shared" si="187"/>
        <v/>
      </c>
      <c r="H235" s="49" t="str">
        <f t="shared" si="187"/>
        <v/>
      </c>
      <c r="I235" s="49" t="str">
        <f t="shared" si="187"/>
        <v/>
      </c>
      <c r="J235" s="49" t="str">
        <f t="shared" si="187"/>
        <v/>
      </c>
      <c r="K235" s="49" t="str">
        <f t="shared" si="187"/>
        <v/>
      </c>
      <c r="L235" s="49" t="str">
        <f t="shared" si="187"/>
        <v/>
      </c>
      <c r="M235" s="49" t="str">
        <f t="shared" si="187"/>
        <v/>
      </c>
      <c r="N235" s="49" t="str">
        <f t="shared" si="187"/>
        <v/>
      </c>
      <c r="O235" s="49" t="str">
        <f t="shared" si="187"/>
        <v/>
      </c>
      <c r="P235" s="49" t="str">
        <f t="shared" si="187"/>
        <v/>
      </c>
      <c r="Q235" s="43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</row>
    <row r="236" spans="1:30" ht="13.5" customHeight="1">
      <c r="A236" s="26"/>
      <c r="B236" s="26"/>
      <c r="C236" s="26"/>
      <c r="D236" s="48" t="str">
        <f>IF(Tracking!J200="","",IF(Person!$C$20="m",ABS((Tracking!J200/4-D$45)),ABS((Tracking!J200/4-D$48))))</f>
        <v/>
      </c>
      <c r="E236" s="48" t="str">
        <f>IF(Tracking!K200="","",IF(Person!$C$20="m",ABS((Tracking!K200/4-E$45)),ABS((Tracking!K200/4-E$48))))</f>
        <v/>
      </c>
      <c r="F236" s="48" t="str">
        <f>IF(Tracking!L200="","",IF(Person!$C$20="m",ABS((Tracking!L200/4-F$45)),ABS((Tracking!L200/4-F$48))))</f>
        <v/>
      </c>
      <c r="G236" s="48" t="str">
        <f>IF(Tracking!M200="","",IF(Person!$C$20="m",ABS((Tracking!M200/4-G$45)),ABS((Tracking!M200/4-G$48))))</f>
        <v/>
      </c>
      <c r="H236" s="48" t="str">
        <f>IF(Tracking!N200="","",IF(Person!$C$20="m",ABS((Tracking!N200/4-H$45)),ABS((Tracking!N200/4-H$48))))</f>
        <v/>
      </c>
      <c r="I236" s="48" t="str">
        <f>IF(Tracking!O200="","",IF(Person!$C$20="m",ABS((Tracking!O200/4-I$45)),ABS((Tracking!O200/4-I$48))))</f>
        <v/>
      </c>
      <c r="J236" s="48" t="str">
        <f>IF(Tracking!P200="","",IF(Person!$C$20="m",ABS((Tracking!P200/4-J$45)),ABS((Tracking!P200/4-J$48))))</f>
        <v/>
      </c>
      <c r="K236" s="48" t="str">
        <f>IF(Tracking!Q200="","",IF(Person!$C$20="m",ABS((Tracking!Q200/4-K$45)),ABS((Tracking!Q200/4-K$48))))</f>
        <v/>
      </c>
      <c r="L236" s="48" t="str">
        <f>IF(Tracking!R200="","",IF(Person!$C$20="m",ABS((Tracking!R200/4-L$45)),ABS((Tracking!R200/4-L$48))))</f>
        <v/>
      </c>
      <c r="M236" s="48" t="str">
        <f>IF(Tracking!S200="","",IF(Person!$C$20="m",ABS((Tracking!S200/4-M$45)),ABS((Tracking!S200/4-M$48))))</f>
        <v/>
      </c>
      <c r="N236" s="48" t="str">
        <f>IF(Tracking!T200="","",IF(Person!$C$20="m",ABS((Tracking!T200/4-N$45)),ABS((Tracking!T200/4-N$48))))</f>
        <v/>
      </c>
      <c r="O236" s="48" t="str">
        <f>IF(Tracking!U200="","",IF(Person!$C$20="m",ABS((Tracking!U200/4-O$45)),ABS((Tracking!U200/4-O$48))))</f>
        <v/>
      </c>
      <c r="P236" s="48" t="str">
        <f>IF(Tracking!V200="","",IF(Person!$C$20="m",ABS((Tracking!V200/4-P$45)),ABS((Tracking!V200/4-P$48))))</f>
        <v/>
      </c>
      <c r="Q236" s="43"/>
      <c r="R236" s="48" t="str">
        <f t="shared" ref="R236:AD236" si="188">IF(ISERROR(LARGE($D236:$P236,R$44)),"",LARGE($D236:$P236,R$44))</f>
        <v/>
      </c>
      <c r="S236" s="48" t="str">
        <f t="shared" si="188"/>
        <v/>
      </c>
      <c r="T236" s="48" t="str">
        <f t="shared" si="188"/>
        <v/>
      </c>
      <c r="U236" s="48" t="str">
        <f t="shared" si="188"/>
        <v/>
      </c>
      <c r="V236" s="48" t="str">
        <f t="shared" si="188"/>
        <v/>
      </c>
      <c r="W236" s="48" t="str">
        <f t="shared" si="188"/>
        <v/>
      </c>
      <c r="X236" s="48" t="str">
        <f t="shared" si="188"/>
        <v/>
      </c>
      <c r="Y236" s="48" t="str">
        <f t="shared" si="188"/>
        <v/>
      </c>
      <c r="Z236" s="48" t="str">
        <f t="shared" si="188"/>
        <v/>
      </c>
      <c r="AA236" s="48" t="str">
        <f t="shared" si="188"/>
        <v/>
      </c>
      <c r="AB236" s="48" t="str">
        <f t="shared" si="188"/>
        <v/>
      </c>
      <c r="AC236" s="48" t="str">
        <f t="shared" si="188"/>
        <v/>
      </c>
      <c r="AD236" s="48" t="str">
        <f t="shared" si="188"/>
        <v/>
      </c>
    </row>
    <row r="237" spans="1:30" ht="13.5" customHeight="1">
      <c r="A237" s="26"/>
      <c r="B237" s="26"/>
      <c r="C237" s="26"/>
      <c r="D237" s="49" t="str">
        <f t="shared" ref="D237:P237" si="189">IF(D236="","",IF(D236=$R236,1,IF(D236=$S236,2,IF(D236=$T236,3,IF(D236=$U236,4,IF(D236=$V236,5,IF(D236=$W236,6,IF(D236=$X236,7,IF(D236=$Y236,8,IF(D236=$Z236,9,IF(D236=$AA236,10,IF(D236=$AB236,11,IF(D236=$AC236,12,IF(D236=$AD236,13))))))))))))))</f>
        <v/>
      </c>
      <c r="E237" s="49" t="str">
        <f t="shared" si="189"/>
        <v/>
      </c>
      <c r="F237" s="49" t="str">
        <f t="shared" si="189"/>
        <v/>
      </c>
      <c r="G237" s="49" t="str">
        <f t="shared" si="189"/>
        <v/>
      </c>
      <c r="H237" s="49" t="str">
        <f t="shared" si="189"/>
        <v/>
      </c>
      <c r="I237" s="49" t="str">
        <f t="shared" si="189"/>
        <v/>
      </c>
      <c r="J237" s="49" t="str">
        <f t="shared" si="189"/>
        <v/>
      </c>
      <c r="K237" s="49" t="str">
        <f t="shared" si="189"/>
        <v/>
      </c>
      <c r="L237" s="49" t="str">
        <f t="shared" si="189"/>
        <v/>
      </c>
      <c r="M237" s="49" t="str">
        <f t="shared" si="189"/>
        <v/>
      </c>
      <c r="N237" s="49" t="str">
        <f t="shared" si="189"/>
        <v/>
      </c>
      <c r="O237" s="49" t="str">
        <f t="shared" si="189"/>
        <v/>
      </c>
      <c r="P237" s="49" t="str">
        <f t="shared" si="189"/>
        <v/>
      </c>
      <c r="Q237" s="43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</row>
    <row r="238" spans="1:30" ht="13.5" customHeight="1">
      <c r="A238" s="26"/>
      <c r="B238" s="26"/>
      <c r="C238" s="26"/>
      <c r="D238" s="48" t="str">
        <f>IF(Tracking!J202="","",IF(Person!$C$20="m",ABS((Tracking!J202/4-D$45)),ABS((Tracking!J202/4-D$48))))</f>
        <v/>
      </c>
      <c r="E238" s="48" t="str">
        <f>IF(Tracking!K202="","",IF(Person!$C$20="m",ABS((Tracking!K202/4-E$45)),ABS((Tracking!K202/4-E$48))))</f>
        <v/>
      </c>
      <c r="F238" s="48" t="str">
        <f>IF(Tracking!L202="","",IF(Person!$C$20="m",ABS((Tracking!L202/4-F$45)),ABS((Tracking!L202/4-F$48))))</f>
        <v/>
      </c>
      <c r="G238" s="48" t="str">
        <f>IF(Tracking!M202="","",IF(Person!$C$20="m",ABS((Tracking!M202/4-G$45)),ABS((Tracking!M202/4-G$48))))</f>
        <v/>
      </c>
      <c r="H238" s="48" t="str">
        <f>IF(Tracking!N202="","",IF(Person!$C$20="m",ABS((Tracking!N202/4-H$45)),ABS((Tracking!N202/4-H$48))))</f>
        <v/>
      </c>
      <c r="I238" s="48" t="str">
        <f>IF(Tracking!O202="","",IF(Person!$C$20="m",ABS((Tracking!O202/4-I$45)),ABS((Tracking!O202/4-I$48))))</f>
        <v/>
      </c>
      <c r="J238" s="48" t="str">
        <f>IF(Tracking!P202="","",IF(Person!$C$20="m",ABS((Tracking!P202/4-J$45)),ABS((Tracking!P202/4-J$48))))</f>
        <v/>
      </c>
      <c r="K238" s="48" t="str">
        <f>IF(Tracking!Q202="","",IF(Person!$C$20="m",ABS((Tracking!Q202/4-K$45)),ABS((Tracking!Q202/4-K$48))))</f>
        <v/>
      </c>
      <c r="L238" s="48" t="str">
        <f>IF(Tracking!R202="","",IF(Person!$C$20="m",ABS((Tracking!R202/4-L$45)),ABS((Tracking!R202/4-L$48))))</f>
        <v/>
      </c>
      <c r="M238" s="48" t="str">
        <f>IF(Tracking!S202="","",IF(Person!$C$20="m",ABS((Tracking!S202/4-M$45)),ABS((Tracking!S202/4-M$48))))</f>
        <v/>
      </c>
      <c r="N238" s="48" t="str">
        <f>IF(Tracking!T202="","",IF(Person!$C$20="m",ABS((Tracking!T202/4-N$45)),ABS((Tracking!T202/4-N$48))))</f>
        <v/>
      </c>
      <c r="O238" s="48" t="str">
        <f>IF(Tracking!U202="","",IF(Person!$C$20="m",ABS((Tracking!U202/4-O$45)),ABS((Tracking!U202/4-O$48))))</f>
        <v/>
      </c>
      <c r="P238" s="48" t="str">
        <f>IF(Tracking!V202="","",IF(Person!$C$20="m",ABS((Tracking!V202/4-P$45)),ABS((Tracking!V202/4-P$48))))</f>
        <v/>
      </c>
      <c r="Q238" s="43"/>
      <c r="R238" s="48" t="str">
        <f t="shared" ref="R238:AD238" si="190">IF(ISERROR(LARGE($D238:$P238,R$44)),"",LARGE($D238:$P238,R$44))</f>
        <v/>
      </c>
      <c r="S238" s="48" t="str">
        <f t="shared" si="190"/>
        <v/>
      </c>
      <c r="T238" s="48" t="str">
        <f t="shared" si="190"/>
        <v/>
      </c>
      <c r="U238" s="48" t="str">
        <f t="shared" si="190"/>
        <v/>
      </c>
      <c r="V238" s="48" t="str">
        <f t="shared" si="190"/>
        <v/>
      </c>
      <c r="W238" s="48" t="str">
        <f t="shared" si="190"/>
        <v/>
      </c>
      <c r="X238" s="48" t="str">
        <f t="shared" si="190"/>
        <v/>
      </c>
      <c r="Y238" s="48" t="str">
        <f t="shared" si="190"/>
        <v/>
      </c>
      <c r="Z238" s="48" t="str">
        <f t="shared" si="190"/>
        <v/>
      </c>
      <c r="AA238" s="48" t="str">
        <f t="shared" si="190"/>
        <v/>
      </c>
      <c r="AB238" s="48" t="str">
        <f t="shared" si="190"/>
        <v/>
      </c>
      <c r="AC238" s="48" t="str">
        <f t="shared" si="190"/>
        <v/>
      </c>
      <c r="AD238" s="48" t="str">
        <f t="shared" si="190"/>
        <v/>
      </c>
    </row>
    <row r="239" spans="1:30" ht="13.5" customHeight="1">
      <c r="A239" s="26"/>
      <c r="B239" s="26"/>
      <c r="C239" s="26"/>
      <c r="D239" s="49" t="str">
        <f t="shared" ref="D239:P239" si="191">IF(D238="","",IF(D238=$R238,1,IF(D238=$S238,2,IF(D238=$T238,3,IF(D238=$U238,4,IF(D238=$V238,5,IF(D238=$W238,6,IF(D238=$X238,7,IF(D238=$Y238,8,IF(D238=$Z238,9,IF(D238=$AA238,10,IF(D238=$AB238,11,IF(D238=$AC238,12,IF(D238=$AD238,13))))))))))))))</f>
        <v/>
      </c>
      <c r="E239" s="49" t="str">
        <f t="shared" si="191"/>
        <v/>
      </c>
      <c r="F239" s="49" t="str">
        <f t="shared" si="191"/>
        <v/>
      </c>
      <c r="G239" s="49" t="str">
        <f t="shared" si="191"/>
        <v/>
      </c>
      <c r="H239" s="49" t="str">
        <f t="shared" si="191"/>
        <v/>
      </c>
      <c r="I239" s="49" t="str">
        <f t="shared" si="191"/>
        <v/>
      </c>
      <c r="J239" s="49" t="str">
        <f t="shared" si="191"/>
        <v/>
      </c>
      <c r="K239" s="49" t="str">
        <f t="shared" si="191"/>
        <v/>
      </c>
      <c r="L239" s="49" t="str">
        <f t="shared" si="191"/>
        <v/>
      </c>
      <c r="M239" s="49" t="str">
        <f t="shared" si="191"/>
        <v/>
      </c>
      <c r="N239" s="49" t="str">
        <f t="shared" si="191"/>
        <v/>
      </c>
      <c r="O239" s="49" t="str">
        <f t="shared" si="191"/>
        <v/>
      </c>
      <c r="P239" s="49" t="str">
        <f t="shared" si="191"/>
        <v/>
      </c>
      <c r="Q239" s="43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</row>
    <row r="240" spans="1:30" ht="13.5" customHeight="1">
      <c r="A240" s="26"/>
      <c r="B240" s="26"/>
      <c r="C240" s="26"/>
      <c r="D240" s="48" t="str">
        <f>IF(Tracking!J204="","",IF(Person!$C$20="m",ABS((Tracking!J204/4-D$45)),ABS((Tracking!J204/4-D$48))))</f>
        <v/>
      </c>
      <c r="E240" s="48" t="str">
        <f>IF(Tracking!K204="","",IF(Person!$C$20="m",ABS((Tracking!K204/4-E$45)),ABS((Tracking!K204/4-E$48))))</f>
        <v/>
      </c>
      <c r="F240" s="48" t="str">
        <f>IF(Tracking!L204="","",IF(Person!$C$20="m",ABS((Tracking!L204/4-F$45)),ABS((Tracking!L204/4-F$48))))</f>
        <v/>
      </c>
      <c r="G240" s="48" t="str">
        <f>IF(Tracking!M204="","",IF(Person!$C$20="m",ABS((Tracking!M204/4-G$45)),ABS((Tracking!M204/4-G$48))))</f>
        <v/>
      </c>
      <c r="H240" s="48" t="str">
        <f>IF(Tracking!N204="","",IF(Person!$C$20="m",ABS((Tracking!N204/4-H$45)),ABS((Tracking!N204/4-H$48))))</f>
        <v/>
      </c>
      <c r="I240" s="48" t="str">
        <f>IF(Tracking!O204="","",IF(Person!$C$20="m",ABS((Tracking!O204/4-I$45)),ABS((Tracking!O204/4-I$48))))</f>
        <v/>
      </c>
      <c r="J240" s="48" t="str">
        <f>IF(Tracking!P204="","",IF(Person!$C$20="m",ABS((Tracking!P204/4-J$45)),ABS((Tracking!P204/4-J$48))))</f>
        <v/>
      </c>
      <c r="K240" s="48" t="str">
        <f>IF(Tracking!Q204="","",IF(Person!$C$20="m",ABS((Tracking!Q204/4-K$45)),ABS((Tracking!Q204/4-K$48))))</f>
        <v/>
      </c>
      <c r="L240" s="48" t="str">
        <f>IF(Tracking!R204="","",IF(Person!$C$20="m",ABS((Tracking!R204/4-L$45)),ABS((Tracking!R204/4-L$48))))</f>
        <v/>
      </c>
      <c r="M240" s="48" t="str">
        <f>IF(Tracking!S204="","",IF(Person!$C$20="m",ABS((Tracking!S204/4-M$45)),ABS((Tracking!S204/4-M$48))))</f>
        <v/>
      </c>
      <c r="N240" s="48" t="str">
        <f>IF(Tracking!T204="","",IF(Person!$C$20="m",ABS((Tracking!T204/4-N$45)),ABS((Tracking!T204/4-N$48))))</f>
        <v/>
      </c>
      <c r="O240" s="48" t="str">
        <f>IF(Tracking!U204="","",IF(Person!$C$20="m",ABS((Tracking!U204/4-O$45)),ABS((Tracking!U204/4-O$48))))</f>
        <v/>
      </c>
      <c r="P240" s="48" t="str">
        <f>IF(Tracking!V204="","",IF(Person!$C$20="m",ABS((Tracking!V204/4-P$45)),ABS((Tracking!V204/4-P$48))))</f>
        <v/>
      </c>
      <c r="Q240" s="43"/>
      <c r="R240" s="48" t="str">
        <f t="shared" ref="R240:AD240" si="192">IF(ISERROR(LARGE($D240:$P240,R$44)),"",LARGE($D240:$P240,R$44))</f>
        <v/>
      </c>
      <c r="S240" s="48" t="str">
        <f t="shared" si="192"/>
        <v/>
      </c>
      <c r="T240" s="48" t="str">
        <f t="shared" si="192"/>
        <v/>
      </c>
      <c r="U240" s="48" t="str">
        <f t="shared" si="192"/>
        <v/>
      </c>
      <c r="V240" s="48" t="str">
        <f t="shared" si="192"/>
        <v/>
      </c>
      <c r="W240" s="48" t="str">
        <f t="shared" si="192"/>
        <v/>
      </c>
      <c r="X240" s="48" t="str">
        <f t="shared" si="192"/>
        <v/>
      </c>
      <c r="Y240" s="48" t="str">
        <f t="shared" si="192"/>
        <v/>
      </c>
      <c r="Z240" s="48" t="str">
        <f t="shared" si="192"/>
        <v/>
      </c>
      <c r="AA240" s="48" t="str">
        <f t="shared" si="192"/>
        <v/>
      </c>
      <c r="AB240" s="48" t="str">
        <f t="shared" si="192"/>
        <v/>
      </c>
      <c r="AC240" s="48" t="str">
        <f t="shared" si="192"/>
        <v/>
      </c>
      <c r="AD240" s="48" t="str">
        <f t="shared" si="192"/>
        <v/>
      </c>
    </row>
    <row r="241" spans="1:30" ht="13.5" customHeight="1">
      <c r="A241" s="26"/>
      <c r="B241" s="26"/>
      <c r="C241" s="26"/>
      <c r="D241" s="49" t="str">
        <f t="shared" ref="D241:P241" si="193">IF(D240="","",IF(D240=$R240,1,IF(D240=$S240,2,IF(D240=$T240,3,IF(D240=$U240,4,IF(D240=$V240,5,IF(D240=$W240,6,IF(D240=$X240,7,IF(D240=$Y240,8,IF(D240=$Z240,9,IF(D240=$AA240,10,IF(D240=$AB240,11,IF(D240=$AC240,12,IF(D240=$AD240,13))))))))))))))</f>
        <v/>
      </c>
      <c r="E241" s="49" t="str">
        <f t="shared" si="193"/>
        <v/>
      </c>
      <c r="F241" s="49" t="str">
        <f t="shared" si="193"/>
        <v/>
      </c>
      <c r="G241" s="49" t="str">
        <f t="shared" si="193"/>
        <v/>
      </c>
      <c r="H241" s="49" t="str">
        <f t="shared" si="193"/>
        <v/>
      </c>
      <c r="I241" s="49" t="str">
        <f t="shared" si="193"/>
        <v/>
      </c>
      <c r="J241" s="49" t="str">
        <f t="shared" si="193"/>
        <v/>
      </c>
      <c r="K241" s="49" t="str">
        <f t="shared" si="193"/>
        <v/>
      </c>
      <c r="L241" s="49" t="str">
        <f t="shared" si="193"/>
        <v/>
      </c>
      <c r="M241" s="49" t="str">
        <f t="shared" si="193"/>
        <v/>
      </c>
      <c r="N241" s="49" t="str">
        <f t="shared" si="193"/>
        <v/>
      </c>
      <c r="O241" s="49" t="str">
        <f t="shared" si="193"/>
        <v/>
      </c>
      <c r="P241" s="49" t="str">
        <f t="shared" si="193"/>
        <v/>
      </c>
      <c r="Q241" s="43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</row>
    <row r="242" spans="1:30" ht="13.5" customHeight="1">
      <c r="A242" s="26"/>
      <c r="B242" s="26"/>
      <c r="C242" s="26"/>
      <c r="D242" s="48" t="str">
        <f>IF(Tracking!J206="","",IF(Person!$C$20="m",ABS((Tracking!J206/4-D$45)),ABS((Tracking!J206/4-D$48))))</f>
        <v/>
      </c>
      <c r="E242" s="48" t="str">
        <f>IF(Tracking!K206="","",IF(Person!$C$20="m",ABS((Tracking!K206/4-E$45)),ABS((Tracking!K206/4-E$48))))</f>
        <v/>
      </c>
      <c r="F242" s="48" t="str">
        <f>IF(Tracking!L206="","",IF(Person!$C$20="m",ABS((Tracking!L206/4-F$45)),ABS((Tracking!L206/4-F$48))))</f>
        <v/>
      </c>
      <c r="G242" s="48" t="str">
        <f>IF(Tracking!M206="","",IF(Person!$C$20="m",ABS((Tracking!M206/4-G$45)),ABS((Tracking!M206/4-G$48))))</f>
        <v/>
      </c>
      <c r="H242" s="48" t="str">
        <f>IF(Tracking!N206="","",IF(Person!$C$20="m",ABS((Tracking!N206/4-H$45)),ABS((Tracking!N206/4-H$48))))</f>
        <v/>
      </c>
      <c r="I242" s="48" t="str">
        <f>IF(Tracking!O206="","",IF(Person!$C$20="m",ABS((Tracking!O206/4-I$45)),ABS((Tracking!O206/4-I$48))))</f>
        <v/>
      </c>
      <c r="J242" s="48" t="str">
        <f>IF(Tracking!P206="","",IF(Person!$C$20="m",ABS((Tracking!P206/4-J$45)),ABS((Tracking!P206/4-J$48))))</f>
        <v/>
      </c>
      <c r="K242" s="48" t="str">
        <f>IF(Tracking!Q206="","",IF(Person!$C$20="m",ABS((Tracking!Q206/4-K$45)),ABS((Tracking!Q206/4-K$48))))</f>
        <v/>
      </c>
      <c r="L242" s="48" t="str">
        <f>IF(Tracking!R206="","",IF(Person!$C$20="m",ABS((Tracking!R206/4-L$45)),ABS((Tracking!R206/4-L$48))))</f>
        <v/>
      </c>
      <c r="M242" s="48" t="str">
        <f>IF(Tracking!S206="","",IF(Person!$C$20="m",ABS((Tracking!S206/4-M$45)),ABS((Tracking!S206/4-M$48))))</f>
        <v/>
      </c>
      <c r="N242" s="48" t="str">
        <f>IF(Tracking!T206="","",IF(Person!$C$20="m",ABS((Tracking!T206/4-N$45)),ABS((Tracking!T206/4-N$48))))</f>
        <v/>
      </c>
      <c r="O242" s="48" t="str">
        <f>IF(Tracking!U206="","",IF(Person!$C$20="m",ABS((Tracking!U206/4-O$45)),ABS((Tracking!U206/4-O$48))))</f>
        <v/>
      </c>
      <c r="P242" s="48" t="str">
        <f>IF(Tracking!V206="","",IF(Person!$C$20="m",ABS((Tracking!V206/4-P$45)),ABS((Tracking!V206/4-P$48))))</f>
        <v/>
      </c>
      <c r="Q242" s="43"/>
      <c r="R242" s="48" t="str">
        <f t="shared" ref="R242:AD242" si="194">IF(ISERROR(LARGE($D242:$P242,R$44)),"",LARGE($D242:$P242,R$44))</f>
        <v/>
      </c>
      <c r="S242" s="48" t="str">
        <f t="shared" si="194"/>
        <v/>
      </c>
      <c r="T242" s="48" t="str">
        <f t="shared" si="194"/>
        <v/>
      </c>
      <c r="U242" s="48" t="str">
        <f t="shared" si="194"/>
        <v/>
      </c>
      <c r="V242" s="48" t="str">
        <f t="shared" si="194"/>
        <v/>
      </c>
      <c r="W242" s="48" t="str">
        <f t="shared" si="194"/>
        <v/>
      </c>
      <c r="X242" s="48" t="str">
        <f t="shared" si="194"/>
        <v/>
      </c>
      <c r="Y242" s="48" t="str">
        <f t="shared" si="194"/>
        <v/>
      </c>
      <c r="Z242" s="48" t="str">
        <f t="shared" si="194"/>
        <v/>
      </c>
      <c r="AA242" s="48" t="str">
        <f t="shared" si="194"/>
        <v/>
      </c>
      <c r="AB242" s="48" t="str">
        <f t="shared" si="194"/>
        <v/>
      </c>
      <c r="AC242" s="48" t="str">
        <f t="shared" si="194"/>
        <v/>
      </c>
      <c r="AD242" s="48" t="str">
        <f t="shared" si="194"/>
        <v/>
      </c>
    </row>
    <row r="243" spans="1:30" ht="13.5" customHeight="1">
      <c r="A243" s="26"/>
      <c r="B243" s="26"/>
      <c r="C243" s="26"/>
      <c r="D243" s="49" t="str">
        <f t="shared" ref="D243:P243" si="195">IF(D242="","",IF(D242=$R242,1,IF(D242=$S242,2,IF(D242=$T242,3,IF(D242=$U242,4,IF(D242=$V242,5,IF(D242=$W242,6,IF(D242=$X242,7,IF(D242=$Y242,8,IF(D242=$Z242,9,IF(D242=$AA242,10,IF(D242=$AB242,11,IF(D242=$AC242,12,IF(D242=$AD242,13))))))))))))))</f>
        <v/>
      </c>
      <c r="E243" s="49" t="str">
        <f t="shared" si="195"/>
        <v/>
      </c>
      <c r="F243" s="49" t="str">
        <f t="shared" si="195"/>
        <v/>
      </c>
      <c r="G243" s="49" t="str">
        <f t="shared" si="195"/>
        <v/>
      </c>
      <c r="H243" s="49" t="str">
        <f t="shared" si="195"/>
        <v/>
      </c>
      <c r="I243" s="49" t="str">
        <f t="shared" si="195"/>
        <v/>
      </c>
      <c r="J243" s="49" t="str">
        <f t="shared" si="195"/>
        <v/>
      </c>
      <c r="K243" s="49" t="str">
        <f t="shared" si="195"/>
        <v/>
      </c>
      <c r="L243" s="49" t="str">
        <f t="shared" si="195"/>
        <v/>
      </c>
      <c r="M243" s="49" t="str">
        <f t="shared" si="195"/>
        <v/>
      </c>
      <c r="N243" s="49" t="str">
        <f t="shared" si="195"/>
        <v/>
      </c>
      <c r="O243" s="49" t="str">
        <f t="shared" si="195"/>
        <v/>
      </c>
      <c r="P243" s="49" t="str">
        <f t="shared" si="195"/>
        <v/>
      </c>
      <c r="Q243" s="43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</row>
    <row r="244" spans="1:30" ht="13.5" customHeight="1">
      <c r="A244" s="26"/>
      <c r="B244" s="26"/>
      <c r="C244" s="26"/>
      <c r="D244" s="48" t="str">
        <f>IF(Tracking!J208="","",IF(Person!$C$20="m",ABS((Tracking!J208/4-D$45)),ABS((Tracking!J208/4-D$48))))</f>
        <v/>
      </c>
      <c r="E244" s="48" t="str">
        <f>IF(Tracking!K208="","",IF(Person!$C$20="m",ABS((Tracking!K208/4-E$45)),ABS((Tracking!K208/4-E$48))))</f>
        <v/>
      </c>
      <c r="F244" s="48" t="str">
        <f>IF(Tracking!L208="","",IF(Person!$C$20="m",ABS((Tracking!L208/4-F$45)),ABS((Tracking!L208/4-F$48))))</f>
        <v/>
      </c>
      <c r="G244" s="48" t="str">
        <f>IF(Tracking!M208="","",IF(Person!$C$20="m",ABS((Tracking!M208/4-G$45)),ABS((Tracking!M208/4-G$48))))</f>
        <v/>
      </c>
      <c r="H244" s="48" t="str">
        <f>IF(Tracking!N208="","",IF(Person!$C$20="m",ABS((Tracking!N208/4-H$45)),ABS((Tracking!N208/4-H$48))))</f>
        <v/>
      </c>
      <c r="I244" s="48" t="str">
        <f>IF(Tracking!O208="","",IF(Person!$C$20="m",ABS((Tracking!O208/4-I$45)),ABS((Tracking!O208/4-I$48))))</f>
        <v/>
      </c>
      <c r="J244" s="48" t="str">
        <f>IF(Tracking!P208="","",IF(Person!$C$20="m",ABS((Tracking!P208/4-J$45)),ABS((Tracking!P208/4-J$48))))</f>
        <v/>
      </c>
      <c r="K244" s="48" t="str">
        <f>IF(Tracking!Q208="","",IF(Person!$C$20="m",ABS((Tracking!Q208/4-K$45)),ABS((Tracking!Q208/4-K$48))))</f>
        <v/>
      </c>
      <c r="L244" s="48" t="str">
        <f>IF(Tracking!R208="","",IF(Person!$C$20="m",ABS((Tracking!R208/4-L$45)),ABS((Tracking!R208/4-L$48))))</f>
        <v/>
      </c>
      <c r="M244" s="48" t="str">
        <f>IF(Tracking!S208="","",IF(Person!$C$20="m",ABS((Tracking!S208/4-M$45)),ABS((Tracking!S208/4-M$48))))</f>
        <v/>
      </c>
      <c r="N244" s="48" t="str">
        <f>IF(Tracking!T208="","",IF(Person!$C$20="m",ABS((Tracking!T208/4-N$45)),ABS((Tracking!T208/4-N$48))))</f>
        <v/>
      </c>
      <c r="O244" s="48" t="str">
        <f>IF(Tracking!U208="","",IF(Person!$C$20="m",ABS((Tracking!U208/4-O$45)),ABS((Tracking!U208/4-O$48))))</f>
        <v/>
      </c>
      <c r="P244" s="48" t="str">
        <f>IF(Tracking!V208="","",IF(Person!$C$20="m",ABS((Tracking!V208/4-P$45)),ABS((Tracking!V208/4-P$48))))</f>
        <v/>
      </c>
      <c r="Q244" s="43"/>
      <c r="R244" s="48" t="str">
        <f t="shared" ref="R244:AD244" si="196">IF(ISERROR(LARGE($D244:$P244,R$44)),"",LARGE($D244:$P244,R$44))</f>
        <v/>
      </c>
      <c r="S244" s="48" t="str">
        <f t="shared" si="196"/>
        <v/>
      </c>
      <c r="T244" s="48" t="str">
        <f t="shared" si="196"/>
        <v/>
      </c>
      <c r="U244" s="48" t="str">
        <f t="shared" si="196"/>
        <v/>
      </c>
      <c r="V244" s="48" t="str">
        <f t="shared" si="196"/>
        <v/>
      </c>
      <c r="W244" s="48" t="str">
        <f t="shared" si="196"/>
        <v/>
      </c>
      <c r="X244" s="48" t="str">
        <f t="shared" si="196"/>
        <v/>
      </c>
      <c r="Y244" s="48" t="str">
        <f t="shared" si="196"/>
        <v/>
      </c>
      <c r="Z244" s="48" t="str">
        <f t="shared" si="196"/>
        <v/>
      </c>
      <c r="AA244" s="48" t="str">
        <f t="shared" si="196"/>
        <v/>
      </c>
      <c r="AB244" s="48" t="str">
        <f t="shared" si="196"/>
        <v/>
      </c>
      <c r="AC244" s="48" t="str">
        <f t="shared" si="196"/>
        <v/>
      </c>
      <c r="AD244" s="48" t="str">
        <f t="shared" si="196"/>
        <v/>
      </c>
    </row>
    <row r="245" spans="1:30" ht="13.5" customHeight="1">
      <c r="A245" s="26"/>
      <c r="B245" s="26"/>
      <c r="C245" s="26"/>
      <c r="D245" s="49" t="str">
        <f t="shared" ref="D245:P245" si="197">IF(D244="","",IF(D244=$R244,1,IF(D244=$S244,2,IF(D244=$T244,3,IF(D244=$U244,4,IF(D244=$V244,5,IF(D244=$W244,6,IF(D244=$X244,7,IF(D244=$Y244,8,IF(D244=$Z244,9,IF(D244=$AA244,10,IF(D244=$AB244,11,IF(D244=$AC244,12,IF(D244=$AD244,13))))))))))))))</f>
        <v/>
      </c>
      <c r="E245" s="49" t="str">
        <f t="shared" si="197"/>
        <v/>
      </c>
      <c r="F245" s="49" t="str">
        <f t="shared" si="197"/>
        <v/>
      </c>
      <c r="G245" s="49" t="str">
        <f t="shared" si="197"/>
        <v/>
      </c>
      <c r="H245" s="49" t="str">
        <f t="shared" si="197"/>
        <v/>
      </c>
      <c r="I245" s="49" t="str">
        <f t="shared" si="197"/>
        <v/>
      </c>
      <c r="J245" s="49" t="str">
        <f t="shared" si="197"/>
        <v/>
      </c>
      <c r="K245" s="49" t="str">
        <f t="shared" si="197"/>
        <v/>
      </c>
      <c r="L245" s="49" t="str">
        <f t="shared" si="197"/>
        <v/>
      </c>
      <c r="M245" s="49" t="str">
        <f t="shared" si="197"/>
        <v/>
      </c>
      <c r="N245" s="49" t="str">
        <f t="shared" si="197"/>
        <v/>
      </c>
      <c r="O245" s="49" t="str">
        <f t="shared" si="197"/>
        <v/>
      </c>
      <c r="P245" s="49" t="str">
        <f t="shared" si="197"/>
        <v/>
      </c>
      <c r="Q245" s="43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</row>
    <row r="246" spans="1:30" ht="13.5" customHeight="1">
      <c r="A246" s="26"/>
      <c r="B246" s="26"/>
      <c r="C246" s="26"/>
      <c r="D246" s="48" t="str">
        <f>IF(Tracking!J210="","",IF(Person!$C$20="m",ABS((Tracking!J210/4-D$45)),ABS((Tracking!J210/4-D$48))))</f>
        <v/>
      </c>
      <c r="E246" s="48" t="str">
        <f>IF(Tracking!K210="","",IF(Person!$C$20="m",ABS((Tracking!K210/4-E$45)),ABS((Tracking!K210/4-E$48))))</f>
        <v/>
      </c>
      <c r="F246" s="48" t="str">
        <f>IF(Tracking!L210="","",IF(Person!$C$20="m",ABS((Tracking!L210/4-F$45)),ABS((Tracking!L210/4-F$48))))</f>
        <v/>
      </c>
      <c r="G246" s="48" t="str">
        <f>IF(Tracking!M210="","",IF(Person!$C$20="m",ABS((Tracking!M210/4-G$45)),ABS((Tracking!M210/4-G$48))))</f>
        <v/>
      </c>
      <c r="H246" s="48" t="str">
        <f>IF(Tracking!N210="","",IF(Person!$C$20="m",ABS((Tracking!N210/4-H$45)),ABS((Tracking!N210/4-H$48))))</f>
        <v/>
      </c>
      <c r="I246" s="48" t="str">
        <f>IF(Tracking!O210="","",IF(Person!$C$20="m",ABS((Tracking!O210/4-I$45)),ABS((Tracking!O210/4-I$48))))</f>
        <v/>
      </c>
      <c r="J246" s="48" t="str">
        <f>IF(Tracking!P210="","",IF(Person!$C$20="m",ABS((Tracking!P210/4-J$45)),ABS((Tracking!P210/4-J$48))))</f>
        <v/>
      </c>
      <c r="K246" s="48" t="str">
        <f>IF(Tracking!Q210="","",IF(Person!$C$20="m",ABS((Tracking!Q210/4-K$45)),ABS((Tracking!Q210/4-K$48))))</f>
        <v/>
      </c>
      <c r="L246" s="48" t="str">
        <f>IF(Tracking!R210="","",IF(Person!$C$20="m",ABS((Tracking!R210/4-L$45)),ABS((Tracking!R210/4-L$48))))</f>
        <v/>
      </c>
      <c r="M246" s="48" t="str">
        <f>IF(Tracking!S210="","",IF(Person!$C$20="m",ABS((Tracking!S210/4-M$45)),ABS((Tracking!S210/4-M$48))))</f>
        <v/>
      </c>
      <c r="N246" s="48" t="str">
        <f>IF(Tracking!T210="","",IF(Person!$C$20="m",ABS((Tracking!T210/4-N$45)),ABS((Tracking!T210/4-N$48))))</f>
        <v/>
      </c>
      <c r="O246" s="48" t="str">
        <f>IF(Tracking!U210="","",IF(Person!$C$20="m",ABS((Tracking!U210/4-O$45)),ABS((Tracking!U210/4-O$48))))</f>
        <v/>
      </c>
      <c r="P246" s="48" t="str">
        <f>IF(Tracking!V210="","",IF(Person!$C$20="m",ABS((Tracking!V210/4-P$45)),ABS((Tracking!V210/4-P$48))))</f>
        <v/>
      </c>
      <c r="Q246" s="43"/>
      <c r="R246" s="48" t="str">
        <f t="shared" ref="R246:AD246" si="198">IF(ISERROR(LARGE($D246:$P246,R$44)),"",LARGE($D246:$P246,R$44))</f>
        <v/>
      </c>
      <c r="S246" s="48" t="str">
        <f t="shared" si="198"/>
        <v/>
      </c>
      <c r="T246" s="48" t="str">
        <f t="shared" si="198"/>
        <v/>
      </c>
      <c r="U246" s="48" t="str">
        <f t="shared" si="198"/>
        <v/>
      </c>
      <c r="V246" s="48" t="str">
        <f t="shared" si="198"/>
        <v/>
      </c>
      <c r="W246" s="48" t="str">
        <f t="shared" si="198"/>
        <v/>
      </c>
      <c r="X246" s="48" t="str">
        <f t="shared" si="198"/>
        <v/>
      </c>
      <c r="Y246" s="48" t="str">
        <f t="shared" si="198"/>
        <v/>
      </c>
      <c r="Z246" s="48" t="str">
        <f t="shared" si="198"/>
        <v/>
      </c>
      <c r="AA246" s="48" t="str">
        <f t="shared" si="198"/>
        <v/>
      </c>
      <c r="AB246" s="48" t="str">
        <f t="shared" si="198"/>
        <v/>
      </c>
      <c r="AC246" s="48" t="str">
        <f t="shared" si="198"/>
        <v/>
      </c>
      <c r="AD246" s="48" t="str">
        <f t="shared" si="198"/>
        <v/>
      </c>
    </row>
    <row r="247" spans="1:30" ht="13.5" customHeight="1">
      <c r="A247" s="26"/>
      <c r="B247" s="26"/>
      <c r="C247" s="26"/>
      <c r="D247" s="49" t="str">
        <f t="shared" ref="D247:P247" si="199">IF(D246="","",IF(D246=$R246,1,IF(D246=$S246,2,IF(D246=$T246,3,IF(D246=$U246,4,IF(D246=$V246,5,IF(D246=$W246,6,IF(D246=$X246,7,IF(D246=$Y246,8,IF(D246=$Z246,9,IF(D246=$AA246,10,IF(D246=$AB246,11,IF(D246=$AC246,12,IF(D246=$AD246,13))))))))))))))</f>
        <v/>
      </c>
      <c r="E247" s="49" t="str">
        <f t="shared" si="199"/>
        <v/>
      </c>
      <c r="F247" s="49" t="str">
        <f t="shared" si="199"/>
        <v/>
      </c>
      <c r="G247" s="49" t="str">
        <f t="shared" si="199"/>
        <v/>
      </c>
      <c r="H247" s="49" t="str">
        <f t="shared" si="199"/>
        <v/>
      </c>
      <c r="I247" s="49" t="str">
        <f t="shared" si="199"/>
        <v/>
      </c>
      <c r="J247" s="49" t="str">
        <f t="shared" si="199"/>
        <v/>
      </c>
      <c r="K247" s="49" t="str">
        <f t="shared" si="199"/>
        <v/>
      </c>
      <c r="L247" s="49" t="str">
        <f t="shared" si="199"/>
        <v/>
      </c>
      <c r="M247" s="49" t="str">
        <f t="shared" si="199"/>
        <v/>
      </c>
      <c r="N247" s="49" t="str">
        <f t="shared" si="199"/>
        <v/>
      </c>
      <c r="O247" s="49" t="str">
        <f t="shared" si="199"/>
        <v/>
      </c>
      <c r="P247" s="49" t="str">
        <f t="shared" si="199"/>
        <v/>
      </c>
      <c r="Q247" s="43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</row>
    <row r="248" spans="1:30" ht="13.5" customHeight="1">
      <c r="A248" s="26"/>
      <c r="B248" s="26"/>
      <c r="C248" s="26"/>
      <c r="D248" s="26"/>
      <c r="E248" s="27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</row>
    <row r="249" spans="1:30" ht="13.5" hidden="1" customHeight="1">
      <c r="A249" s="26"/>
      <c r="B249" s="26"/>
      <c r="C249" s="26"/>
      <c r="D249" s="26"/>
      <c r="E249" s="27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</row>
    <row r="250" spans="1:30" ht="13.5" hidden="1" customHeight="1">
      <c r="A250" s="26"/>
      <c r="B250" s="26"/>
      <c r="C250" s="26"/>
      <c r="D250" s="26"/>
      <c r="E250" s="27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</row>
    <row r="251" spans="1:30" ht="13.5" hidden="1" customHeight="1">
      <c r="A251" s="26"/>
      <c r="B251" s="26"/>
      <c r="C251" s="26"/>
      <c r="D251" s="26"/>
      <c r="E251" s="27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</row>
    <row r="252" spans="1:30" ht="13.5" hidden="1" customHeight="1">
      <c r="A252" s="26"/>
      <c r="B252" s="26"/>
      <c r="C252" s="26"/>
      <c r="D252" s="26"/>
      <c r="E252" s="27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</row>
    <row r="253" spans="1:30" ht="13.5" hidden="1" customHeight="1">
      <c r="A253" s="26"/>
      <c r="B253" s="26"/>
      <c r="C253" s="26"/>
      <c r="D253" s="26"/>
      <c r="E253" s="27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</row>
    <row r="254" spans="1:30" ht="13.5" hidden="1" customHeight="1">
      <c r="A254" s="26"/>
      <c r="B254" s="26"/>
      <c r="C254" s="26"/>
      <c r="D254" s="26"/>
      <c r="E254" s="27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6"/>
    </row>
    <row r="255" spans="1:30" ht="13.5" hidden="1" customHeight="1">
      <c r="A255" s="26"/>
      <c r="B255" s="26"/>
      <c r="C255" s="26"/>
      <c r="D255" s="26"/>
      <c r="E255" s="27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6"/>
    </row>
    <row r="256" spans="1:30" ht="13.5" hidden="1" customHeight="1">
      <c r="A256" s="26"/>
      <c r="B256" s="26"/>
      <c r="C256" s="26"/>
      <c r="D256" s="26"/>
      <c r="E256" s="27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</row>
    <row r="257" spans="1:30" ht="13.5" hidden="1" customHeight="1">
      <c r="A257" s="26"/>
      <c r="B257" s="26"/>
      <c r="C257" s="26"/>
      <c r="D257" s="26"/>
      <c r="E257" s="27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6"/>
    </row>
    <row r="258" spans="1:30" ht="13.5" hidden="1" customHeight="1">
      <c r="A258" s="26"/>
      <c r="B258" s="26"/>
      <c r="C258" s="26"/>
      <c r="D258" s="26"/>
      <c r="E258" s="27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6"/>
    </row>
    <row r="259" spans="1:30" ht="13.5" customHeight="1">
      <c r="A259" s="26"/>
      <c r="B259" s="26"/>
      <c r="C259" s="26"/>
      <c r="D259" s="26"/>
      <c r="E259" s="27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  <c r="AD259" s="26"/>
    </row>
    <row r="260" spans="1:30" ht="13.5" customHeight="1">
      <c r="A260" s="26"/>
      <c r="B260" s="26"/>
      <c r="C260" s="26"/>
      <c r="D260" s="26"/>
      <c r="E260" s="27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6"/>
    </row>
    <row r="261" spans="1:30" ht="13.5" customHeight="1">
      <c r="A261" s="26"/>
      <c r="B261" s="26"/>
      <c r="C261" s="26"/>
      <c r="D261" s="26"/>
      <c r="E261" s="27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6"/>
    </row>
    <row r="262" spans="1:30" ht="13.5" customHeight="1">
      <c r="A262" s="26"/>
      <c r="B262" s="26"/>
      <c r="C262" s="26"/>
      <c r="D262" s="26"/>
      <c r="E262" s="27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6"/>
    </row>
    <row r="263" spans="1:30" ht="13.5" customHeight="1">
      <c r="A263" s="26"/>
      <c r="B263" s="26"/>
      <c r="C263" s="26"/>
      <c r="D263" s="26"/>
      <c r="E263" s="27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6"/>
    </row>
    <row r="264" spans="1:30" ht="13.5" customHeight="1">
      <c r="A264" s="26"/>
      <c r="B264" s="26"/>
      <c r="C264" s="26"/>
      <c r="D264" s="26"/>
      <c r="E264" s="27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</row>
    <row r="265" spans="1:30" ht="13.5" customHeight="1">
      <c r="A265" s="26"/>
      <c r="B265" s="26"/>
      <c r="C265" s="26"/>
      <c r="D265" s="26"/>
      <c r="E265" s="27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6"/>
    </row>
    <row r="266" spans="1:30" ht="13.5" customHeight="1">
      <c r="A266" s="26"/>
      <c r="B266" s="26"/>
      <c r="C266" s="26"/>
      <c r="D266" s="26"/>
      <c r="E266" s="27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</row>
    <row r="267" spans="1:30" ht="13.5" customHeight="1">
      <c r="A267" s="26"/>
      <c r="B267" s="26"/>
      <c r="C267" s="26"/>
      <c r="D267" s="26"/>
      <c r="E267" s="27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6"/>
    </row>
    <row r="268" spans="1:30" ht="13.5" customHeight="1">
      <c r="A268" s="26"/>
      <c r="B268" s="26"/>
      <c r="C268" s="26"/>
      <c r="D268" s="26"/>
      <c r="E268" s="27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</row>
    <row r="269" spans="1:30" ht="13.5" customHeight="1">
      <c r="A269" s="26"/>
      <c r="B269" s="26"/>
      <c r="C269" s="26"/>
      <c r="D269" s="26"/>
      <c r="E269" s="27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  <c r="AD269" s="26"/>
    </row>
    <row r="270" spans="1:30" ht="13.5" customHeight="1">
      <c r="A270" s="26"/>
      <c r="B270" s="26"/>
      <c r="C270" s="26"/>
      <c r="D270" s="26"/>
      <c r="E270" s="27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</row>
    <row r="271" spans="1:30" ht="13.5" customHeight="1">
      <c r="A271" s="26"/>
      <c r="B271" s="26"/>
      <c r="C271" s="26"/>
      <c r="D271" s="26"/>
      <c r="E271" s="27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6"/>
    </row>
    <row r="272" spans="1:30" ht="13.5" customHeight="1">
      <c r="A272" s="26"/>
      <c r="B272" s="26"/>
      <c r="C272" s="26"/>
      <c r="D272" s="26"/>
      <c r="E272" s="27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</row>
    <row r="273" spans="1:30" ht="13.5" customHeight="1">
      <c r="A273" s="26"/>
      <c r="B273" s="26"/>
      <c r="C273" s="26"/>
      <c r="D273" s="26"/>
      <c r="E273" s="27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6"/>
    </row>
    <row r="274" spans="1:30" ht="13.5" customHeight="1">
      <c r="A274" s="26"/>
      <c r="B274" s="26"/>
      <c r="C274" s="26"/>
      <c r="D274" s="26"/>
      <c r="E274" s="27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</row>
    <row r="275" spans="1:30" ht="13.5" customHeight="1">
      <c r="A275" s="26"/>
      <c r="B275" s="26"/>
      <c r="C275" s="26"/>
      <c r="D275" s="26"/>
      <c r="E275" s="27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6"/>
    </row>
    <row r="276" spans="1:30" ht="13.5" customHeight="1">
      <c r="A276" s="26"/>
      <c r="B276" s="26"/>
      <c r="C276" s="26"/>
      <c r="D276" s="26"/>
      <c r="E276" s="27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</row>
    <row r="277" spans="1:30" ht="13.5" customHeight="1">
      <c r="A277" s="26"/>
      <c r="B277" s="26"/>
      <c r="C277" s="26"/>
      <c r="D277" s="26"/>
      <c r="E277" s="27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  <c r="AD277" s="26"/>
    </row>
    <row r="278" spans="1:30" ht="13.5" customHeight="1">
      <c r="A278" s="26"/>
      <c r="B278" s="26"/>
      <c r="C278" s="26"/>
      <c r="D278" s="26"/>
      <c r="E278" s="27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  <c r="AD278" s="26"/>
    </row>
    <row r="279" spans="1:30" ht="13.5" customHeight="1">
      <c r="A279" s="26"/>
      <c r="B279" s="26"/>
      <c r="C279" s="26"/>
      <c r="D279" s="26"/>
      <c r="E279" s="27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  <c r="AD279" s="26"/>
    </row>
    <row r="280" spans="1:30" ht="13.5" customHeight="1">
      <c r="A280" s="26"/>
      <c r="B280" s="26"/>
      <c r="C280" s="26"/>
      <c r="D280" s="26"/>
      <c r="E280" s="27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  <c r="AD280" s="26"/>
    </row>
    <row r="281" spans="1:30" ht="13.5" customHeight="1">
      <c r="A281" s="26"/>
      <c r="B281" s="26"/>
      <c r="C281" s="26"/>
      <c r="D281" s="26"/>
      <c r="E281" s="27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  <c r="AD281" s="26"/>
    </row>
    <row r="282" spans="1:30" ht="13.5" customHeight="1">
      <c r="A282" s="26"/>
      <c r="B282" s="26"/>
      <c r="C282" s="26"/>
      <c r="D282" s="26"/>
      <c r="E282" s="27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6"/>
    </row>
    <row r="283" spans="1:30" ht="13.5" customHeight="1">
      <c r="A283" s="26"/>
      <c r="B283" s="26"/>
      <c r="C283" s="26"/>
      <c r="D283" s="26"/>
      <c r="E283" s="27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  <c r="AD283" s="26"/>
    </row>
    <row r="284" spans="1:30" ht="13.5" customHeight="1">
      <c r="A284" s="26"/>
      <c r="B284" s="26"/>
      <c r="C284" s="26"/>
      <c r="D284" s="26"/>
      <c r="E284" s="27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  <c r="AD284" s="26"/>
    </row>
    <row r="285" spans="1:30" ht="13.5" customHeight="1">
      <c r="A285" s="26"/>
      <c r="B285" s="26"/>
      <c r="C285" s="26"/>
      <c r="D285" s="26"/>
      <c r="E285" s="27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6"/>
    </row>
    <row r="286" spans="1:30" ht="13.5" customHeight="1">
      <c r="A286" s="26"/>
      <c r="B286" s="26"/>
      <c r="C286" s="26"/>
      <c r="D286" s="26"/>
      <c r="E286" s="27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  <c r="AD286" s="26"/>
    </row>
    <row r="287" spans="1:30" ht="13.5" customHeight="1">
      <c r="A287" s="26"/>
      <c r="B287" s="26"/>
      <c r="C287" s="26"/>
      <c r="D287" s="26"/>
      <c r="E287" s="27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  <c r="AD287" s="26"/>
    </row>
    <row r="288" spans="1:30" ht="13.5" customHeight="1">
      <c r="A288" s="26"/>
      <c r="B288" s="26"/>
      <c r="C288" s="26"/>
      <c r="D288" s="26"/>
      <c r="E288" s="27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6"/>
    </row>
    <row r="289" spans="1:30" ht="13.5" customHeight="1">
      <c r="A289" s="26"/>
      <c r="B289" s="26"/>
      <c r="C289" s="26"/>
      <c r="D289" s="26"/>
      <c r="E289" s="27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  <c r="AD289" s="26"/>
    </row>
    <row r="290" spans="1:30" ht="13.5" customHeight="1">
      <c r="A290" s="26"/>
      <c r="B290" s="26"/>
      <c r="C290" s="26"/>
      <c r="D290" s="26"/>
      <c r="E290" s="27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6"/>
    </row>
    <row r="291" spans="1:30" ht="13.5" customHeight="1">
      <c r="A291" s="26"/>
      <c r="B291" s="26"/>
      <c r="C291" s="26"/>
      <c r="D291" s="26"/>
      <c r="E291" s="27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6"/>
    </row>
    <row r="292" spans="1:30" ht="13.5" customHeight="1">
      <c r="A292" s="26"/>
      <c r="B292" s="26"/>
      <c r="C292" s="26"/>
      <c r="D292" s="26"/>
      <c r="E292" s="27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6"/>
    </row>
    <row r="293" spans="1:30" ht="13.5" customHeight="1">
      <c r="A293" s="26"/>
      <c r="B293" s="26"/>
      <c r="C293" s="26"/>
      <c r="D293" s="26"/>
      <c r="E293" s="27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  <c r="AD293" s="26"/>
    </row>
    <row r="294" spans="1:30" ht="13.5" customHeight="1">
      <c r="A294" s="26"/>
      <c r="B294" s="26"/>
      <c r="C294" s="26"/>
      <c r="D294" s="26"/>
      <c r="E294" s="27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  <c r="AD294" s="26"/>
    </row>
    <row r="295" spans="1:30" ht="13.5" customHeight="1">
      <c r="A295" s="26"/>
      <c r="B295" s="26"/>
      <c r="C295" s="26"/>
      <c r="D295" s="26"/>
      <c r="E295" s="27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  <c r="AD295" s="26"/>
    </row>
    <row r="296" spans="1:30" ht="13.5" customHeight="1">
      <c r="A296" s="26"/>
      <c r="B296" s="26"/>
      <c r="C296" s="26"/>
      <c r="D296" s="26"/>
      <c r="E296" s="27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  <c r="AD296" s="26"/>
    </row>
    <row r="297" spans="1:30" ht="13.5" customHeight="1">
      <c r="A297" s="26"/>
      <c r="B297" s="26"/>
      <c r="C297" s="26"/>
      <c r="D297" s="26"/>
      <c r="E297" s="27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  <c r="AD297" s="26"/>
    </row>
    <row r="298" spans="1:30" ht="13.5" customHeight="1">
      <c r="A298" s="26"/>
      <c r="B298" s="26"/>
      <c r="C298" s="26"/>
      <c r="D298" s="26"/>
      <c r="E298" s="27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  <c r="AD298" s="26"/>
    </row>
    <row r="299" spans="1:30" ht="13.5" customHeight="1">
      <c r="A299" s="26"/>
      <c r="B299" s="26"/>
      <c r="C299" s="26"/>
      <c r="D299" s="26"/>
      <c r="E299" s="27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  <c r="AD299" s="26"/>
    </row>
    <row r="300" spans="1:30" ht="13.5" customHeight="1">
      <c r="A300" s="26"/>
      <c r="B300" s="26"/>
      <c r="C300" s="26"/>
      <c r="D300" s="26"/>
      <c r="E300" s="27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6"/>
    </row>
    <row r="301" spans="1:30" ht="13.5" customHeight="1">
      <c r="A301" s="26"/>
      <c r="B301" s="26"/>
      <c r="C301" s="26"/>
      <c r="D301" s="26"/>
      <c r="E301" s="27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  <c r="AA301" s="26"/>
      <c r="AB301" s="26"/>
      <c r="AC301" s="26"/>
      <c r="AD301" s="26"/>
    </row>
    <row r="302" spans="1:30" ht="13.5" customHeight="1">
      <c r="A302" s="26"/>
      <c r="B302" s="26"/>
      <c r="C302" s="26"/>
      <c r="D302" s="26"/>
      <c r="E302" s="27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  <c r="AD302" s="26"/>
    </row>
    <row r="303" spans="1:30" ht="13.5" customHeight="1">
      <c r="A303" s="26"/>
      <c r="B303" s="26"/>
      <c r="C303" s="26"/>
      <c r="D303" s="26"/>
      <c r="E303" s="27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  <c r="AD303" s="26"/>
    </row>
    <row r="304" spans="1:30" ht="13.5" customHeight="1">
      <c r="A304" s="26"/>
      <c r="B304" s="26"/>
      <c r="C304" s="26"/>
      <c r="D304" s="26"/>
      <c r="E304" s="27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  <c r="AD304" s="26"/>
    </row>
    <row r="305" spans="1:30" ht="13.5" customHeight="1">
      <c r="A305" s="26"/>
      <c r="B305" s="26"/>
      <c r="C305" s="26"/>
      <c r="D305" s="26"/>
      <c r="E305" s="27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  <c r="AD305" s="26"/>
    </row>
    <row r="306" spans="1:30" ht="13.5" customHeight="1">
      <c r="A306" s="26"/>
      <c r="B306" s="26"/>
      <c r="C306" s="26"/>
      <c r="D306" s="26"/>
      <c r="E306" s="27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  <c r="AD306" s="26"/>
    </row>
    <row r="307" spans="1:30" ht="13.5" customHeight="1">
      <c r="A307" s="26"/>
      <c r="B307" s="26"/>
      <c r="C307" s="26"/>
      <c r="D307" s="26"/>
      <c r="E307" s="27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  <c r="AA307" s="26"/>
      <c r="AB307" s="26"/>
      <c r="AC307" s="26"/>
      <c r="AD307" s="26"/>
    </row>
    <row r="308" spans="1:30" ht="13.5" customHeight="1">
      <c r="A308" s="26"/>
      <c r="B308" s="26"/>
      <c r="C308" s="26"/>
      <c r="D308" s="26"/>
      <c r="E308" s="27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  <c r="AA308" s="26"/>
      <c r="AB308" s="26"/>
      <c r="AC308" s="26"/>
      <c r="AD308" s="26"/>
    </row>
    <row r="309" spans="1:30" ht="13.5" customHeight="1">
      <c r="A309" s="26"/>
      <c r="B309" s="26"/>
      <c r="C309" s="26"/>
      <c r="D309" s="26"/>
      <c r="E309" s="27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  <c r="AA309" s="26"/>
      <c r="AB309" s="26"/>
      <c r="AC309" s="26"/>
      <c r="AD309" s="26"/>
    </row>
    <row r="310" spans="1:30" ht="13.5" customHeight="1">
      <c r="A310" s="26"/>
      <c r="B310" s="26"/>
      <c r="C310" s="26"/>
      <c r="D310" s="26"/>
      <c r="E310" s="27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  <c r="AA310" s="26"/>
      <c r="AB310" s="26"/>
      <c r="AC310" s="26"/>
      <c r="AD310" s="26"/>
    </row>
    <row r="311" spans="1:30" ht="13.5" customHeight="1">
      <c r="A311" s="26"/>
      <c r="B311" s="26"/>
      <c r="C311" s="26"/>
      <c r="D311" s="26"/>
      <c r="E311" s="27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  <c r="AA311" s="26"/>
      <c r="AB311" s="26"/>
      <c r="AC311" s="26"/>
      <c r="AD311" s="26"/>
    </row>
    <row r="312" spans="1:30" ht="13.5" customHeight="1">
      <c r="A312" s="26"/>
      <c r="B312" s="26"/>
      <c r="C312" s="26"/>
      <c r="D312" s="26"/>
      <c r="E312" s="27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  <c r="AD312" s="26"/>
    </row>
    <row r="313" spans="1:30" ht="13.5" customHeight="1">
      <c r="A313" s="26"/>
      <c r="B313" s="26"/>
      <c r="C313" s="26"/>
      <c r="D313" s="26"/>
      <c r="E313" s="27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  <c r="AD313" s="26"/>
    </row>
    <row r="314" spans="1:30" ht="13.5" customHeight="1">
      <c r="A314" s="26"/>
      <c r="B314" s="26"/>
      <c r="C314" s="26"/>
      <c r="D314" s="26"/>
      <c r="E314" s="27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  <c r="AD314" s="26"/>
    </row>
    <row r="315" spans="1:30" ht="13.5" customHeight="1">
      <c r="A315" s="26"/>
      <c r="B315" s="26"/>
      <c r="C315" s="26"/>
      <c r="D315" s="26"/>
      <c r="E315" s="27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  <c r="AD315" s="26"/>
    </row>
    <row r="316" spans="1:30" ht="13.5" customHeight="1">
      <c r="A316" s="26"/>
      <c r="B316" s="26"/>
      <c r="C316" s="26"/>
      <c r="D316" s="26"/>
      <c r="E316" s="27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  <c r="AD316" s="26"/>
    </row>
    <row r="317" spans="1:30" ht="13.5" customHeight="1">
      <c r="A317" s="26"/>
      <c r="B317" s="26"/>
      <c r="C317" s="26"/>
      <c r="D317" s="26"/>
      <c r="E317" s="27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  <c r="AA317" s="26"/>
      <c r="AB317" s="26"/>
      <c r="AC317" s="26"/>
      <c r="AD317" s="26"/>
    </row>
    <row r="318" spans="1:30" ht="13.5" customHeight="1">
      <c r="A318" s="26"/>
      <c r="B318" s="26"/>
      <c r="C318" s="26"/>
      <c r="D318" s="26"/>
      <c r="E318" s="27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  <c r="AD318" s="26"/>
    </row>
    <row r="319" spans="1:30" ht="13.5" customHeight="1">
      <c r="A319" s="26"/>
      <c r="B319" s="26"/>
      <c r="C319" s="26"/>
      <c r="D319" s="26"/>
      <c r="E319" s="27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  <c r="AD319" s="26"/>
    </row>
    <row r="320" spans="1:30" ht="13.5" customHeight="1">
      <c r="A320" s="26"/>
      <c r="B320" s="26"/>
      <c r="C320" s="26"/>
      <c r="D320" s="26"/>
      <c r="E320" s="27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  <c r="AD320" s="26"/>
    </row>
    <row r="321" spans="1:30" ht="13.5" customHeight="1">
      <c r="A321" s="26"/>
      <c r="B321" s="26"/>
      <c r="C321" s="26"/>
      <c r="D321" s="26"/>
      <c r="E321" s="27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  <c r="AA321" s="26"/>
      <c r="AB321" s="26"/>
      <c r="AC321" s="26"/>
      <c r="AD321" s="26"/>
    </row>
    <row r="322" spans="1:30" ht="13.5" customHeight="1">
      <c r="A322" s="26"/>
      <c r="B322" s="26"/>
      <c r="C322" s="26"/>
      <c r="D322" s="26"/>
      <c r="E322" s="27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  <c r="AD322" s="26"/>
    </row>
    <row r="323" spans="1:30" ht="13.5" customHeight="1">
      <c r="A323" s="26"/>
      <c r="B323" s="26"/>
      <c r="C323" s="26"/>
      <c r="D323" s="26"/>
      <c r="E323" s="27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  <c r="AD323" s="26"/>
    </row>
    <row r="324" spans="1:30" ht="13.5" customHeight="1">
      <c r="A324" s="26"/>
      <c r="B324" s="26"/>
      <c r="C324" s="26"/>
      <c r="D324" s="26"/>
      <c r="E324" s="27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  <c r="AD324" s="26"/>
    </row>
    <row r="325" spans="1:30" ht="13.5" customHeight="1">
      <c r="A325" s="26"/>
      <c r="B325" s="26"/>
      <c r="C325" s="26"/>
      <c r="D325" s="26"/>
      <c r="E325" s="27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  <c r="AD325" s="26"/>
    </row>
    <row r="326" spans="1:30" ht="13.5" customHeight="1">
      <c r="A326" s="26"/>
      <c r="B326" s="26"/>
      <c r="C326" s="26"/>
      <c r="D326" s="26"/>
      <c r="E326" s="27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  <c r="AD326" s="26"/>
    </row>
    <row r="327" spans="1:30" ht="13.5" customHeight="1">
      <c r="A327" s="26"/>
      <c r="B327" s="26"/>
      <c r="C327" s="26"/>
      <c r="D327" s="26"/>
      <c r="E327" s="27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  <c r="AA327" s="26"/>
      <c r="AB327" s="26"/>
      <c r="AC327" s="26"/>
      <c r="AD327" s="26"/>
    </row>
    <row r="328" spans="1:30" ht="13.5" customHeight="1">
      <c r="A328" s="26"/>
      <c r="B328" s="26"/>
      <c r="C328" s="26"/>
      <c r="D328" s="26"/>
      <c r="E328" s="27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  <c r="AD328" s="26"/>
    </row>
    <row r="329" spans="1:30" ht="13.5" customHeight="1">
      <c r="A329" s="26"/>
      <c r="B329" s="26"/>
      <c r="C329" s="26"/>
      <c r="D329" s="26"/>
      <c r="E329" s="27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  <c r="AA329" s="26"/>
      <c r="AB329" s="26"/>
      <c r="AC329" s="26"/>
      <c r="AD329" s="26"/>
    </row>
    <row r="330" spans="1:30" ht="13.5" customHeight="1">
      <c r="A330" s="26"/>
      <c r="B330" s="26"/>
      <c r="C330" s="26"/>
      <c r="D330" s="26"/>
      <c r="E330" s="27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  <c r="AD330" s="26"/>
    </row>
    <row r="331" spans="1:30" ht="13.5" customHeight="1">
      <c r="A331" s="26"/>
      <c r="B331" s="26"/>
      <c r="C331" s="26"/>
      <c r="D331" s="26"/>
      <c r="E331" s="27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  <c r="AA331" s="26"/>
      <c r="AB331" s="26"/>
      <c r="AC331" s="26"/>
      <c r="AD331" s="26"/>
    </row>
    <row r="332" spans="1:30" ht="13.5" customHeight="1">
      <c r="A332" s="26"/>
      <c r="B332" s="26"/>
      <c r="C332" s="26"/>
      <c r="D332" s="26"/>
      <c r="E332" s="27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  <c r="AD332" s="26"/>
    </row>
    <row r="333" spans="1:30" ht="13.5" customHeight="1">
      <c r="A333" s="26"/>
      <c r="B333" s="26"/>
      <c r="C333" s="26"/>
      <c r="D333" s="26"/>
      <c r="E333" s="27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  <c r="AA333" s="26"/>
      <c r="AB333" s="26"/>
      <c r="AC333" s="26"/>
      <c r="AD333" s="26"/>
    </row>
    <row r="334" spans="1:30" ht="13.5" customHeight="1">
      <c r="A334" s="26"/>
      <c r="B334" s="26"/>
      <c r="C334" s="26"/>
      <c r="D334" s="26"/>
      <c r="E334" s="27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  <c r="AA334" s="26"/>
      <c r="AB334" s="26"/>
      <c r="AC334" s="26"/>
      <c r="AD334" s="26"/>
    </row>
    <row r="335" spans="1:30" ht="13.5" customHeight="1">
      <c r="A335" s="26"/>
      <c r="B335" s="26"/>
      <c r="C335" s="26"/>
      <c r="D335" s="26"/>
      <c r="E335" s="27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  <c r="AA335" s="26"/>
      <c r="AB335" s="26"/>
      <c r="AC335" s="26"/>
      <c r="AD335" s="26"/>
    </row>
    <row r="336" spans="1:30" ht="13.5" customHeight="1">
      <c r="A336" s="26"/>
      <c r="B336" s="26"/>
      <c r="C336" s="26"/>
      <c r="D336" s="26"/>
      <c r="E336" s="27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  <c r="AD336" s="26"/>
    </row>
    <row r="337" spans="1:30" ht="13.5" customHeight="1">
      <c r="A337" s="26"/>
      <c r="B337" s="26"/>
      <c r="C337" s="26"/>
      <c r="D337" s="26"/>
      <c r="E337" s="27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  <c r="AA337" s="26"/>
      <c r="AB337" s="26"/>
      <c r="AC337" s="26"/>
      <c r="AD337" s="26"/>
    </row>
    <row r="338" spans="1:30" ht="13.5" customHeight="1">
      <c r="A338" s="26"/>
      <c r="B338" s="26"/>
      <c r="C338" s="26"/>
      <c r="D338" s="26"/>
      <c r="E338" s="27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  <c r="AA338" s="26"/>
      <c r="AB338" s="26"/>
      <c r="AC338" s="26"/>
      <c r="AD338" s="26"/>
    </row>
    <row r="339" spans="1:30" ht="13.5" customHeight="1">
      <c r="A339" s="26"/>
      <c r="B339" s="26"/>
      <c r="C339" s="26"/>
      <c r="D339" s="26"/>
      <c r="E339" s="27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  <c r="AA339" s="26"/>
      <c r="AB339" s="26"/>
      <c r="AC339" s="26"/>
      <c r="AD339" s="26"/>
    </row>
    <row r="340" spans="1:30" ht="13.5" customHeight="1">
      <c r="A340" s="26"/>
      <c r="B340" s="26"/>
      <c r="C340" s="26"/>
      <c r="D340" s="26"/>
      <c r="E340" s="27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A340" s="26"/>
      <c r="AB340" s="26"/>
      <c r="AC340" s="26"/>
      <c r="AD340" s="26"/>
    </row>
    <row r="341" spans="1:30" ht="13.5" customHeight="1">
      <c r="A341" s="26"/>
      <c r="B341" s="26"/>
      <c r="C341" s="26"/>
      <c r="D341" s="26"/>
      <c r="E341" s="27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  <c r="AA341" s="26"/>
      <c r="AB341" s="26"/>
      <c r="AC341" s="26"/>
      <c r="AD341" s="26"/>
    </row>
    <row r="342" spans="1:30" ht="13.5" customHeight="1">
      <c r="A342" s="26"/>
      <c r="B342" s="26"/>
      <c r="C342" s="26"/>
      <c r="D342" s="26"/>
      <c r="E342" s="27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  <c r="AD342" s="26"/>
    </row>
    <row r="343" spans="1:30" ht="13.5" customHeight="1">
      <c r="A343" s="26"/>
      <c r="B343" s="26"/>
      <c r="C343" s="26"/>
      <c r="D343" s="26"/>
      <c r="E343" s="27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  <c r="AD343" s="26"/>
    </row>
    <row r="344" spans="1:30" ht="13.5" customHeight="1">
      <c r="A344" s="26"/>
      <c r="B344" s="26"/>
      <c r="C344" s="26"/>
      <c r="D344" s="26"/>
      <c r="E344" s="27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  <c r="AD344" s="26"/>
    </row>
    <row r="345" spans="1:30" ht="13.5" customHeight="1">
      <c r="A345" s="26"/>
      <c r="B345" s="26"/>
      <c r="C345" s="26"/>
      <c r="D345" s="26"/>
      <c r="E345" s="27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  <c r="AA345" s="26"/>
      <c r="AB345" s="26"/>
      <c r="AC345" s="26"/>
      <c r="AD345" s="26"/>
    </row>
    <row r="346" spans="1:30" ht="13.5" customHeight="1">
      <c r="A346" s="26"/>
      <c r="B346" s="26"/>
      <c r="C346" s="26"/>
      <c r="D346" s="26"/>
      <c r="E346" s="27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  <c r="AD346" s="26"/>
    </row>
    <row r="347" spans="1:30" ht="13.5" customHeight="1">
      <c r="A347" s="26"/>
      <c r="B347" s="26"/>
      <c r="C347" s="26"/>
      <c r="D347" s="26"/>
      <c r="E347" s="27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  <c r="AD347" s="26"/>
    </row>
    <row r="348" spans="1:30" ht="13.5" customHeight="1">
      <c r="A348" s="26"/>
      <c r="B348" s="26"/>
      <c r="C348" s="26"/>
      <c r="D348" s="26"/>
      <c r="E348" s="27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  <c r="AA348" s="26"/>
      <c r="AB348" s="26"/>
      <c r="AC348" s="26"/>
      <c r="AD348" s="26"/>
    </row>
    <row r="349" spans="1:30" ht="13.5" customHeight="1">
      <c r="A349" s="26"/>
      <c r="B349" s="26"/>
      <c r="C349" s="26"/>
      <c r="D349" s="26"/>
      <c r="E349" s="27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  <c r="AA349" s="26"/>
      <c r="AB349" s="26"/>
      <c r="AC349" s="26"/>
      <c r="AD349" s="26"/>
    </row>
    <row r="350" spans="1:30" ht="13.5" customHeight="1">
      <c r="A350" s="26"/>
      <c r="B350" s="26"/>
      <c r="C350" s="26"/>
      <c r="D350" s="26"/>
      <c r="E350" s="27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  <c r="AD350" s="26"/>
    </row>
    <row r="351" spans="1:30" ht="13.5" customHeight="1">
      <c r="A351" s="26"/>
      <c r="B351" s="26"/>
      <c r="C351" s="26"/>
      <c r="D351" s="26"/>
      <c r="E351" s="27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  <c r="AA351" s="26"/>
      <c r="AB351" s="26"/>
      <c r="AC351" s="26"/>
      <c r="AD351" s="26"/>
    </row>
    <row r="352" spans="1:30" ht="13.5" customHeight="1">
      <c r="A352" s="26"/>
      <c r="B352" s="26"/>
      <c r="C352" s="26"/>
      <c r="D352" s="26"/>
      <c r="E352" s="27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  <c r="AA352" s="26"/>
      <c r="AB352" s="26"/>
      <c r="AC352" s="26"/>
      <c r="AD352" s="26"/>
    </row>
    <row r="353" spans="1:30" ht="13.5" customHeight="1">
      <c r="A353" s="26"/>
      <c r="B353" s="26"/>
      <c r="C353" s="26"/>
      <c r="D353" s="26"/>
      <c r="E353" s="27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  <c r="AB353" s="26"/>
      <c r="AC353" s="26"/>
      <c r="AD353" s="26"/>
    </row>
    <row r="354" spans="1:30" ht="13.5" customHeight="1">
      <c r="A354" s="26"/>
      <c r="B354" s="26"/>
      <c r="C354" s="26"/>
      <c r="D354" s="26"/>
      <c r="E354" s="27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  <c r="AD354" s="26"/>
    </row>
    <row r="355" spans="1:30" ht="13.5" customHeight="1">
      <c r="A355" s="26"/>
      <c r="B355" s="26"/>
      <c r="C355" s="26"/>
      <c r="D355" s="26"/>
      <c r="E355" s="27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  <c r="AB355" s="26"/>
      <c r="AC355" s="26"/>
      <c r="AD355" s="26"/>
    </row>
    <row r="356" spans="1:30" ht="13.5" customHeight="1">
      <c r="A356" s="26"/>
      <c r="B356" s="26"/>
      <c r="C356" s="26"/>
      <c r="D356" s="26"/>
      <c r="E356" s="27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  <c r="AD356" s="26"/>
    </row>
    <row r="357" spans="1:30" ht="13.5" customHeight="1">
      <c r="A357" s="26"/>
      <c r="B357" s="26"/>
      <c r="C357" s="26"/>
      <c r="D357" s="26"/>
      <c r="E357" s="27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  <c r="AA357" s="26"/>
      <c r="AB357" s="26"/>
      <c r="AC357" s="26"/>
      <c r="AD357" s="26"/>
    </row>
    <row r="358" spans="1:30" ht="13.5" customHeight="1">
      <c r="A358" s="26"/>
      <c r="B358" s="26"/>
      <c r="C358" s="26"/>
      <c r="D358" s="26"/>
      <c r="E358" s="27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  <c r="AD358" s="26"/>
    </row>
    <row r="359" spans="1:30" ht="13.5" customHeight="1">
      <c r="A359" s="26"/>
      <c r="B359" s="26"/>
      <c r="C359" s="26"/>
      <c r="D359" s="26"/>
      <c r="E359" s="27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  <c r="AD359" s="26"/>
    </row>
    <row r="360" spans="1:30" ht="13.5" customHeight="1">
      <c r="A360" s="26"/>
      <c r="B360" s="26"/>
      <c r="C360" s="26"/>
      <c r="D360" s="26"/>
      <c r="E360" s="27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  <c r="AD360" s="26"/>
    </row>
    <row r="361" spans="1:30" ht="13.5" customHeight="1">
      <c r="A361" s="26"/>
      <c r="B361" s="26"/>
      <c r="C361" s="26"/>
      <c r="D361" s="26"/>
      <c r="E361" s="27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  <c r="AA361" s="26"/>
      <c r="AB361" s="26"/>
      <c r="AC361" s="26"/>
      <c r="AD361" s="26"/>
    </row>
    <row r="362" spans="1:30" ht="13.5" customHeight="1">
      <c r="A362" s="26"/>
      <c r="B362" s="26"/>
      <c r="C362" s="26"/>
      <c r="D362" s="26"/>
      <c r="E362" s="27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  <c r="AA362" s="26"/>
      <c r="AB362" s="26"/>
      <c r="AC362" s="26"/>
      <c r="AD362" s="26"/>
    </row>
    <row r="363" spans="1:30" ht="13.5" customHeight="1">
      <c r="A363" s="26"/>
      <c r="B363" s="26"/>
      <c r="C363" s="26"/>
      <c r="D363" s="26"/>
      <c r="E363" s="27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  <c r="AA363" s="26"/>
      <c r="AB363" s="26"/>
      <c r="AC363" s="26"/>
      <c r="AD363" s="26"/>
    </row>
    <row r="364" spans="1:30" ht="13.5" customHeight="1">
      <c r="A364" s="26"/>
      <c r="B364" s="26"/>
      <c r="C364" s="26"/>
      <c r="D364" s="26"/>
      <c r="E364" s="27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  <c r="AD364" s="26"/>
    </row>
    <row r="365" spans="1:30" ht="13.5" customHeight="1">
      <c r="A365" s="26"/>
      <c r="B365" s="26"/>
      <c r="C365" s="26"/>
      <c r="D365" s="26"/>
      <c r="E365" s="27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  <c r="AA365" s="26"/>
      <c r="AB365" s="26"/>
      <c r="AC365" s="26"/>
      <c r="AD365" s="26"/>
    </row>
    <row r="366" spans="1:30" ht="13.5" customHeight="1">
      <c r="A366" s="26"/>
      <c r="B366" s="26"/>
      <c r="C366" s="26"/>
      <c r="D366" s="26"/>
      <c r="E366" s="27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  <c r="AA366" s="26"/>
      <c r="AB366" s="26"/>
      <c r="AC366" s="26"/>
      <c r="AD366" s="26"/>
    </row>
    <row r="367" spans="1:30" ht="13.5" customHeight="1">
      <c r="A367" s="26"/>
      <c r="B367" s="26"/>
      <c r="C367" s="26"/>
      <c r="D367" s="26"/>
      <c r="E367" s="27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  <c r="AA367" s="26"/>
      <c r="AB367" s="26"/>
      <c r="AC367" s="26"/>
      <c r="AD367" s="26"/>
    </row>
    <row r="368" spans="1:30" ht="13.5" customHeight="1">
      <c r="A368" s="26"/>
      <c r="B368" s="26"/>
      <c r="C368" s="26"/>
      <c r="D368" s="26"/>
      <c r="E368" s="27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  <c r="AD368" s="26"/>
    </row>
    <row r="369" spans="1:30" ht="13.5" customHeight="1">
      <c r="A369" s="26"/>
      <c r="B369" s="26"/>
      <c r="C369" s="26"/>
      <c r="D369" s="26"/>
      <c r="E369" s="27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  <c r="AA369" s="26"/>
      <c r="AB369" s="26"/>
      <c r="AC369" s="26"/>
      <c r="AD369" s="26"/>
    </row>
    <row r="370" spans="1:30" ht="13.5" customHeight="1">
      <c r="A370" s="26"/>
      <c r="B370" s="26"/>
      <c r="C370" s="26"/>
      <c r="D370" s="26"/>
      <c r="E370" s="27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  <c r="AD370" s="26"/>
    </row>
    <row r="371" spans="1:30" ht="13.5" customHeight="1">
      <c r="A371" s="26"/>
      <c r="B371" s="26"/>
      <c r="C371" s="26"/>
      <c r="D371" s="26"/>
      <c r="E371" s="27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  <c r="AD371" s="26"/>
    </row>
    <row r="372" spans="1:30" ht="13.5" customHeight="1">
      <c r="A372" s="26"/>
      <c r="B372" s="26"/>
      <c r="C372" s="26"/>
      <c r="D372" s="26"/>
      <c r="E372" s="27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  <c r="AA372" s="26"/>
      <c r="AB372" s="26"/>
      <c r="AC372" s="26"/>
      <c r="AD372" s="26"/>
    </row>
    <row r="373" spans="1:30" ht="13.5" customHeight="1">
      <c r="A373" s="26"/>
      <c r="B373" s="26"/>
      <c r="C373" s="26"/>
      <c r="D373" s="26"/>
      <c r="E373" s="27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  <c r="AA373" s="26"/>
      <c r="AB373" s="26"/>
      <c r="AC373" s="26"/>
      <c r="AD373" s="26"/>
    </row>
    <row r="374" spans="1:30" ht="13.5" customHeight="1">
      <c r="A374" s="26"/>
      <c r="B374" s="26"/>
      <c r="C374" s="26"/>
      <c r="D374" s="26"/>
      <c r="E374" s="27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  <c r="AD374" s="26"/>
    </row>
    <row r="375" spans="1:30" ht="13.5" customHeight="1">
      <c r="A375" s="26"/>
      <c r="B375" s="26"/>
      <c r="C375" s="26"/>
      <c r="D375" s="26"/>
      <c r="E375" s="27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  <c r="AC375" s="26"/>
      <c r="AD375" s="26"/>
    </row>
    <row r="376" spans="1:30" ht="13.5" customHeight="1">
      <c r="A376" s="26"/>
      <c r="B376" s="26"/>
      <c r="C376" s="26"/>
      <c r="D376" s="26"/>
      <c r="E376" s="27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  <c r="AD376" s="26"/>
    </row>
    <row r="377" spans="1:30" ht="13.5" customHeight="1">
      <c r="A377" s="26"/>
      <c r="B377" s="26"/>
      <c r="C377" s="26"/>
      <c r="D377" s="26"/>
      <c r="E377" s="27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  <c r="AA377" s="26"/>
      <c r="AB377" s="26"/>
      <c r="AC377" s="26"/>
      <c r="AD377" s="26"/>
    </row>
    <row r="378" spans="1:30" ht="13.5" customHeight="1">
      <c r="A378" s="26"/>
      <c r="B378" s="26"/>
      <c r="C378" s="26"/>
      <c r="D378" s="26"/>
      <c r="E378" s="27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  <c r="AC378" s="26"/>
      <c r="AD378" s="26"/>
    </row>
    <row r="379" spans="1:30" ht="13.5" customHeight="1">
      <c r="A379" s="26"/>
      <c r="B379" s="26"/>
      <c r="C379" s="26"/>
      <c r="D379" s="26"/>
      <c r="E379" s="27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  <c r="AA379" s="26"/>
      <c r="AB379" s="26"/>
      <c r="AC379" s="26"/>
      <c r="AD379" s="26"/>
    </row>
    <row r="380" spans="1:30" ht="13.5" customHeight="1">
      <c r="A380" s="26"/>
      <c r="B380" s="26"/>
      <c r="C380" s="26"/>
      <c r="D380" s="26"/>
      <c r="E380" s="27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  <c r="AC380" s="26"/>
      <c r="AD380" s="26"/>
    </row>
    <row r="381" spans="1:30" ht="13.5" customHeight="1">
      <c r="A381" s="26"/>
      <c r="B381" s="26"/>
      <c r="C381" s="26"/>
      <c r="D381" s="26"/>
      <c r="E381" s="27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  <c r="AC381" s="26"/>
      <c r="AD381" s="26"/>
    </row>
    <row r="382" spans="1:30" ht="13.5" customHeight="1">
      <c r="A382" s="26"/>
      <c r="B382" s="26"/>
      <c r="C382" s="26"/>
      <c r="D382" s="26"/>
      <c r="E382" s="27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  <c r="AD382" s="26"/>
    </row>
    <row r="383" spans="1:30" ht="13.5" customHeight="1">
      <c r="A383" s="26"/>
      <c r="B383" s="26"/>
      <c r="C383" s="26"/>
      <c r="D383" s="26"/>
      <c r="E383" s="27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/>
      <c r="AB383" s="26"/>
      <c r="AC383" s="26"/>
      <c r="AD383" s="26"/>
    </row>
    <row r="384" spans="1:30" ht="13.5" customHeight="1">
      <c r="A384" s="26"/>
      <c r="B384" s="26"/>
      <c r="C384" s="26"/>
      <c r="D384" s="26"/>
      <c r="E384" s="27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  <c r="AD384" s="26"/>
    </row>
    <row r="385" spans="1:30" ht="13.5" customHeight="1">
      <c r="A385" s="26"/>
      <c r="B385" s="26"/>
      <c r="C385" s="26"/>
      <c r="D385" s="26"/>
      <c r="E385" s="27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/>
      <c r="AB385" s="26"/>
      <c r="AC385" s="26"/>
      <c r="AD385" s="26"/>
    </row>
    <row r="386" spans="1:30" ht="13.5" customHeight="1">
      <c r="A386" s="26"/>
      <c r="B386" s="26"/>
      <c r="C386" s="26"/>
      <c r="D386" s="26"/>
      <c r="E386" s="27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  <c r="AC386" s="26"/>
      <c r="AD386" s="26"/>
    </row>
    <row r="387" spans="1:30" ht="13.5" customHeight="1">
      <c r="A387" s="26"/>
      <c r="B387" s="26"/>
      <c r="C387" s="26"/>
      <c r="D387" s="26"/>
      <c r="E387" s="27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  <c r="AA387" s="26"/>
      <c r="AB387" s="26"/>
      <c r="AC387" s="26"/>
      <c r="AD387" s="26"/>
    </row>
    <row r="388" spans="1:30" ht="13.5" customHeight="1">
      <c r="A388" s="26"/>
      <c r="B388" s="26"/>
      <c r="C388" s="26"/>
      <c r="D388" s="26"/>
      <c r="E388" s="27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  <c r="AA388" s="26"/>
      <c r="AB388" s="26"/>
      <c r="AC388" s="26"/>
      <c r="AD388" s="26"/>
    </row>
    <row r="389" spans="1:30" ht="13.5" customHeight="1">
      <c r="A389" s="26"/>
      <c r="B389" s="26"/>
      <c r="C389" s="26"/>
      <c r="D389" s="26"/>
      <c r="E389" s="27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  <c r="AC389" s="26"/>
      <c r="AD389" s="26"/>
    </row>
    <row r="390" spans="1:30" ht="13.5" customHeight="1">
      <c r="A390" s="26"/>
      <c r="B390" s="26"/>
      <c r="C390" s="26"/>
      <c r="D390" s="26"/>
      <c r="E390" s="27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  <c r="AC390" s="26"/>
      <c r="AD390" s="26"/>
    </row>
    <row r="391" spans="1:30" ht="13.5" customHeight="1">
      <c r="A391" s="26"/>
      <c r="B391" s="26"/>
      <c r="C391" s="26"/>
      <c r="D391" s="26"/>
      <c r="E391" s="27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  <c r="AC391" s="26"/>
      <c r="AD391" s="26"/>
    </row>
    <row r="392" spans="1:30" ht="13.5" customHeight="1">
      <c r="A392" s="26"/>
      <c r="B392" s="26"/>
      <c r="C392" s="26"/>
      <c r="D392" s="26"/>
      <c r="E392" s="27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  <c r="AC392" s="26"/>
      <c r="AD392" s="26"/>
    </row>
    <row r="393" spans="1:30" ht="13.5" customHeight="1">
      <c r="A393" s="26"/>
      <c r="B393" s="26"/>
      <c r="C393" s="26"/>
      <c r="D393" s="26"/>
      <c r="E393" s="27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  <c r="AC393" s="26"/>
      <c r="AD393" s="26"/>
    </row>
    <row r="394" spans="1:30" ht="13.5" customHeight="1">
      <c r="A394" s="26"/>
      <c r="B394" s="26"/>
      <c r="C394" s="26"/>
      <c r="D394" s="26"/>
      <c r="E394" s="27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  <c r="AC394" s="26"/>
      <c r="AD394" s="26"/>
    </row>
    <row r="395" spans="1:30" ht="13.5" customHeight="1">
      <c r="A395" s="26"/>
      <c r="B395" s="26"/>
      <c r="C395" s="26"/>
      <c r="D395" s="26"/>
      <c r="E395" s="27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  <c r="AC395" s="26"/>
      <c r="AD395" s="26"/>
    </row>
    <row r="396" spans="1:30" ht="13.5" customHeight="1">
      <c r="A396" s="26"/>
      <c r="B396" s="26"/>
      <c r="C396" s="26"/>
      <c r="D396" s="26"/>
      <c r="E396" s="27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  <c r="AD396" s="26"/>
    </row>
    <row r="397" spans="1:30" ht="13.5" customHeight="1">
      <c r="A397" s="26"/>
      <c r="B397" s="26"/>
      <c r="C397" s="26"/>
      <c r="D397" s="26"/>
      <c r="E397" s="27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  <c r="AC397" s="26"/>
      <c r="AD397" s="26"/>
    </row>
    <row r="398" spans="1:30" ht="13.5" customHeight="1">
      <c r="A398" s="26"/>
      <c r="B398" s="26"/>
      <c r="C398" s="26"/>
      <c r="D398" s="26"/>
      <c r="E398" s="27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  <c r="AC398" s="26"/>
      <c r="AD398" s="26"/>
    </row>
    <row r="399" spans="1:30" ht="13.5" customHeight="1">
      <c r="A399" s="26"/>
      <c r="B399" s="26"/>
      <c r="C399" s="26"/>
      <c r="D399" s="26"/>
      <c r="E399" s="27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  <c r="AC399" s="26"/>
      <c r="AD399" s="26"/>
    </row>
    <row r="400" spans="1:30" ht="13.5" customHeight="1">
      <c r="A400" s="26"/>
      <c r="B400" s="26"/>
      <c r="C400" s="26"/>
      <c r="D400" s="26"/>
      <c r="E400" s="27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  <c r="AC400" s="26"/>
      <c r="AD400" s="26"/>
    </row>
    <row r="401" spans="1:30" ht="13.5" customHeight="1">
      <c r="A401" s="26"/>
      <c r="B401" s="26"/>
      <c r="C401" s="26"/>
      <c r="D401" s="26"/>
      <c r="E401" s="27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  <c r="AC401" s="26"/>
      <c r="AD401" s="26"/>
    </row>
    <row r="402" spans="1:30" ht="13.5" customHeight="1">
      <c r="A402" s="26"/>
      <c r="B402" s="26"/>
      <c r="C402" s="26"/>
      <c r="D402" s="26"/>
      <c r="E402" s="27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  <c r="AC402" s="26"/>
      <c r="AD402" s="26"/>
    </row>
    <row r="403" spans="1:30" ht="13.5" customHeight="1">
      <c r="A403" s="26"/>
      <c r="B403" s="26"/>
      <c r="C403" s="26"/>
      <c r="D403" s="26"/>
      <c r="E403" s="27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  <c r="AB403" s="26"/>
      <c r="AC403" s="26"/>
      <c r="AD403" s="26"/>
    </row>
    <row r="404" spans="1:30" ht="13.5" customHeight="1">
      <c r="A404" s="26"/>
      <c r="B404" s="26"/>
      <c r="C404" s="26"/>
      <c r="D404" s="26"/>
      <c r="E404" s="27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  <c r="AC404" s="26"/>
      <c r="AD404" s="26"/>
    </row>
    <row r="405" spans="1:30" ht="13.5" customHeight="1">
      <c r="A405" s="26"/>
      <c r="B405" s="26"/>
      <c r="C405" s="26"/>
      <c r="D405" s="26"/>
      <c r="E405" s="27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  <c r="AC405" s="26"/>
      <c r="AD405" s="26"/>
    </row>
    <row r="406" spans="1:30" ht="13.5" customHeight="1">
      <c r="A406" s="26"/>
      <c r="B406" s="26"/>
      <c r="C406" s="26"/>
      <c r="D406" s="26"/>
      <c r="E406" s="27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  <c r="AC406" s="26"/>
      <c r="AD406" s="26"/>
    </row>
    <row r="407" spans="1:30" ht="13.5" customHeight="1">
      <c r="A407" s="26"/>
      <c r="B407" s="26"/>
      <c r="C407" s="26"/>
      <c r="D407" s="26"/>
      <c r="E407" s="27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  <c r="AA407" s="26"/>
      <c r="AB407" s="26"/>
      <c r="AC407" s="26"/>
      <c r="AD407" s="26"/>
    </row>
    <row r="408" spans="1:30" ht="13.5" customHeight="1">
      <c r="A408" s="26"/>
      <c r="B408" s="26"/>
      <c r="C408" s="26"/>
      <c r="D408" s="26"/>
      <c r="E408" s="27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  <c r="AC408" s="26"/>
      <c r="AD408" s="26"/>
    </row>
    <row r="409" spans="1:30" ht="13.5" customHeight="1">
      <c r="A409" s="26"/>
      <c r="B409" s="26"/>
      <c r="C409" s="26"/>
      <c r="D409" s="26"/>
      <c r="E409" s="27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  <c r="AB409" s="26"/>
      <c r="AC409" s="26"/>
      <c r="AD409" s="26"/>
    </row>
    <row r="410" spans="1:30" ht="13.5" customHeight="1">
      <c r="A410" s="26"/>
      <c r="B410" s="26"/>
      <c r="C410" s="26"/>
      <c r="D410" s="26"/>
      <c r="E410" s="27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  <c r="AC410" s="26"/>
      <c r="AD410" s="26"/>
    </row>
    <row r="411" spans="1:30" ht="13.5" customHeight="1">
      <c r="A411" s="26"/>
      <c r="B411" s="26"/>
      <c r="C411" s="26"/>
      <c r="D411" s="26"/>
      <c r="E411" s="27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  <c r="AC411" s="26"/>
      <c r="AD411" s="26"/>
    </row>
    <row r="412" spans="1:30" ht="13.5" customHeight="1">
      <c r="A412" s="26"/>
      <c r="B412" s="26"/>
      <c r="C412" s="26"/>
      <c r="D412" s="26"/>
      <c r="E412" s="27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  <c r="AC412" s="26"/>
      <c r="AD412" s="26"/>
    </row>
    <row r="413" spans="1:30" ht="13.5" customHeight="1">
      <c r="A413" s="26"/>
      <c r="B413" s="26"/>
      <c r="C413" s="26"/>
      <c r="D413" s="26"/>
      <c r="E413" s="27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  <c r="AC413" s="26"/>
      <c r="AD413" s="26"/>
    </row>
    <row r="414" spans="1:30" ht="13.5" customHeight="1">
      <c r="A414" s="26"/>
      <c r="B414" s="26"/>
      <c r="C414" s="26"/>
      <c r="D414" s="26"/>
      <c r="E414" s="27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  <c r="AC414" s="26"/>
      <c r="AD414" s="26"/>
    </row>
    <row r="415" spans="1:30" ht="13.5" customHeight="1">
      <c r="A415" s="26"/>
      <c r="B415" s="26"/>
      <c r="C415" s="26"/>
      <c r="D415" s="26"/>
      <c r="E415" s="27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  <c r="AA415" s="26"/>
      <c r="AB415" s="26"/>
      <c r="AC415" s="26"/>
      <c r="AD415" s="26"/>
    </row>
    <row r="416" spans="1:30" ht="13.5" customHeight="1">
      <c r="A416" s="26"/>
      <c r="B416" s="26"/>
      <c r="C416" s="26"/>
      <c r="D416" s="26"/>
      <c r="E416" s="27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  <c r="AC416" s="26"/>
      <c r="AD416" s="26"/>
    </row>
    <row r="417" spans="1:30" ht="13.5" customHeight="1">
      <c r="A417" s="26"/>
      <c r="B417" s="26"/>
      <c r="C417" s="26"/>
      <c r="D417" s="26"/>
      <c r="E417" s="27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  <c r="AA417" s="26"/>
      <c r="AB417" s="26"/>
      <c r="AC417" s="26"/>
      <c r="AD417" s="26"/>
    </row>
    <row r="418" spans="1:30" ht="13.5" customHeight="1">
      <c r="A418" s="26"/>
      <c r="B418" s="26"/>
      <c r="C418" s="26"/>
      <c r="D418" s="26"/>
      <c r="E418" s="27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  <c r="AC418" s="26"/>
      <c r="AD418" s="26"/>
    </row>
    <row r="419" spans="1:30" ht="13.5" customHeight="1">
      <c r="A419" s="26"/>
      <c r="B419" s="26"/>
      <c r="C419" s="26"/>
      <c r="D419" s="26"/>
      <c r="E419" s="27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  <c r="AA419" s="26"/>
      <c r="AB419" s="26"/>
      <c r="AC419" s="26"/>
      <c r="AD419" s="26"/>
    </row>
    <row r="420" spans="1:30" ht="13.5" customHeight="1">
      <c r="A420" s="26"/>
      <c r="B420" s="26"/>
      <c r="C420" s="26"/>
      <c r="D420" s="26"/>
      <c r="E420" s="27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  <c r="AA420" s="26"/>
      <c r="AB420" s="26"/>
      <c r="AC420" s="26"/>
      <c r="AD420" s="26"/>
    </row>
    <row r="421" spans="1:30" ht="13.5" customHeight="1">
      <c r="A421" s="26"/>
      <c r="B421" s="26"/>
      <c r="C421" s="26"/>
      <c r="D421" s="26"/>
      <c r="E421" s="27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  <c r="AA421" s="26"/>
      <c r="AB421" s="26"/>
      <c r="AC421" s="26"/>
      <c r="AD421" s="26"/>
    </row>
    <row r="422" spans="1:30" ht="13.5" customHeight="1">
      <c r="A422" s="26"/>
      <c r="B422" s="26"/>
      <c r="C422" s="26"/>
      <c r="D422" s="26"/>
      <c r="E422" s="27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  <c r="AA422" s="26"/>
      <c r="AB422" s="26"/>
      <c r="AC422" s="26"/>
      <c r="AD422" s="26"/>
    </row>
    <row r="423" spans="1:30" ht="13.5" customHeight="1">
      <c r="A423" s="26"/>
      <c r="B423" s="26"/>
      <c r="C423" s="26"/>
      <c r="D423" s="26"/>
      <c r="E423" s="27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  <c r="AC423" s="26"/>
      <c r="AD423" s="26"/>
    </row>
    <row r="424" spans="1:30" ht="13.5" customHeight="1">
      <c r="A424" s="26"/>
      <c r="B424" s="26"/>
      <c r="C424" s="26"/>
      <c r="D424" s="26"/>
      <c r="E424" s="27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  <c r="AC424" s="26"/>
      <c r="AD424" s="26"/>
    </row>
    <row r="425" spans="1:30" ht="13.5" customHeight="1">
      <c r="A425" s="26"/>
      <c r="B425" s="26"/>
      <c r="C425" s="26"/>
      <c r="D425" s="26"/>
      <c r="E425" s="27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/>
      <c r="AB425" s="26"/>
      <c r="AC425" s="26"/>
      <c r="AD425" s="26"/>
    </row>
    <row r="426" spans="1:30" ht="13.5" customHeight="1">
      <c r="A426" s="26"/>
      <c r="B426" s="26"/>
      <c r="C426" s="26"/>
      <c r="D426" s="26"/>
      <c r="E426" s="27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  <c r="AC426" s="26"/>
      <c r="AD426" s="26"/>
    </row>
    <row r="427" spans="1:30" ht="13.5" customHeight="1">
      <c r="A427" s="26"/>
      <c r="B427" s="26"/>
      <c r="C427" s="26"/>
      <c r="D427" s="26"/>
      <c r="E427" s="27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/>
      <c r="AB427" s="26"/>
      <c r="AC427" s="26"/>
      <c r="AD427" s="26"/>
    </row>
    <row r="428" spans="1:30" ht="13.5" customHeight="1">
      <c r="A428" s="26"/>
      <c r="B428" s="26"/>
      <c r="C428" s="26"/>
      <c r="D428" s="26"/>
      <c r="E428" s="27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  <c r="AC428" s="26"/>
      <c r="AD428" s="26"/>
    </row>
    <row r="429" spans="1:30" ht="13.5" customHeight="1">
      <c r="A429" s="26"/>
      <c r="B429" s="26"/>
      <c r="C429" s="26"/>
      <c r="D429" s="26"/>
      <c r="E429" s="27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  <c r="AA429" s="26"/>
      <c r="AB429" s="26"/>
      <c r="AC429" s="26"/>
      <c r="AD429" s="26"/>
    </row>
    <row r="430" spans="1:30" ht="13.5" customHeight="1">
      <c r="A430" s="26"/>
      <c r="B430" s="26"/>
      <c r="C430" s="26"/>
      <c r="D430" s="26"/>
      <c r="E430" s="27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  <c r="AB430" s="26"/>
      <c r="AC430" s="26"/>
      <c r="AD430" s="26"/>
    </row>
    <row r="431" spans="1:30" ht="13.5" customHeight="1">
      <c r="A431" s="26"/>
      <c r="B431" s="26"/>
      <c r="C431" s="26"/>
      <c r="D431" s="26"/>
      <c r="E431" s="27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  <c r="AA431" s="26"/>
      <c r="AB431" s="26"/>
      <c r="AC431" s="26"/>
      <c r="AD431" s="26"/>
    </row>
    <row r="432" spans="1:30" ht="13.5" customHeight="1">
      <c r="A432" s="26"/>
      <c r="B432" s="26"/>
      <c r="C432" s="26"/>
      <c r="D432" s="26"/>
      <c r="E432" s="27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  <c r="AA432" s="26"/>
      <c r="AB432" s="26"/>
      <c r="AC432" s="26"/>
      <c r="AD432" s="26"/>
    </row>
    <row r="433" spans="1:30" ht="13.5" customHeight="1">
      <c r="A433" s="26"/>
      <c r="B433" s="26"/>
      <c r="C433" s="26"/>
      <c r="D433" s="26"/>
      <c r="E433" s="27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  <c r="AA433" s="26"/>
      <c r="AB433" s="26"/>
      <c r="AC433" s="26"/>
      <c r="AD433" s="26"/>
    </row>
    <row r="434" spans="1:30" ht="13.5" customHeight="1">
      <c r="A434" s="26"/>
      <c r="B434" s="26"/>
      <c r="C434" s="26"/>
      <c r="D434" s="26"/>
      <c r="E434" s="27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  <c r="AA434" s="26"/>
      <c r="AB434" s="26"/>
      <c r="AC434" s="26"/>
      <c r="AD434" s="26"/>
    </row>
    <row r="435" spans="1:30" ht="13.5" customHeight="1">
      <c r="A435" s="26"/>
      <c r="B435" s="26"/>
      <c r="C435" s="26"/>
      <c r="D435" s="26"/>
      <c r="E435" s="27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  <c r="AA435" s="26"/>
      <c r="AB435" s="26"/>
      <c r="AC435" s="26"/>
      <c r="AD435" s="26"/>
    </row>
    <row r="436" spans="1:30" ht="13.5" customHeight="1">
      <c r="A436" s="26"/>
      <c r="B436" s="26"/>
      <c r="C436" s="26"/>
      <c r="D436" s="26"/>
      <c r="E436" s="27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  <c r="AA436" s="26"/>
      <c r="AB436" s="26"/>
      <c r="AC436" s="26"/>
      <c r="AD436" s="26"/>
    </row>
    <row r="437" spans="1:30" ht="13.5" customHeight="1">
      <c r="A437" s="26"/>
      <c r="B437" s="26"/>
      <c r="C437" s="26"/>
      <c r="D437" s="26"/>
      <c r="E437" s="27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  <c r="AA437" s="26"/>
      <c r="AB437" s="26"/>
      <c r="AC437" s="26"/>
      <c r="AD437" s="26"/>
    </row>
    <row r="438" spans="1:30" ht="13.5" customHeight="1">
      <c r="A438" s="26"/>
      <c r="B438" s="26"/>
      <c r="C438" s="26"/>
      <c r="D438" s="26"/>
      <c r="E438" s="27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  <c r="AA438" s="26"/>
      <c r="AB438" s="26"/>
      <c r="AC438" s="26"/>
      <c r="AD438" s="26"/>
    </row>
    <row r="439" spans="1:30" ht="13.5" customHeight="1">
      <c r="A439" s="26"/>
      <c r="B439" s="26"/>
      <c r="C439" s="26"/>
      <c r="D439" s="26"/>
      <c r="E439" s="27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  <c r="AA439" s="26"/>
      <c r="AB439" s="26"/>
      <c r="AC439" s="26"/>
      <c r="AD439" s="26"/>
    </row>
    <row r="440" spans="1:30" ht="13.5" customHeight="1">
      <c r="A440" s="26"/>
      <c r="B440" s="26"/>
      <c r="C440" s="26"/>
      <c r="D440" s="26"/>
      <c r="E440" s="27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  <c r="AA440" s="26"/>
      <c r="AB440" s="26"/>
      <c r="AC440" s="26"/>
      <c r="AD440" s="26"/>
    </row>
    <row r="441" spans="1:30" ht="13.5" customHeight="1">
      <c r="A441" s="26"/>
      <c r="B441" s="26"/>
      <c r="C441" s="26"/>
      <c r="D441" s="26"/>
      <c r="E441" s="27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  <c r="AA441" s="26"/>
      <c r="AB441" s="26"/>
      <c r="AC441" s="26"/>
      <c r="AD441" s="26"/>
    </row>
    <row r="442" spans="1:30" ht="13.5" customHeight="1">
      <c r="A442" s="26"/>
      <c r="B442" s="26"/>
      <c r="C442" s="26"/>
      <c r="D442" s="26"/>
      <c r="E442" s="27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  <c r="AA442" s="26"/>
      <c r="AB442" s="26"/>
      <c r="AC442" s="26"/>
      <c r="AD442" s="26"/>
    </row>
    <row r="443" spans="1:30" ht="13.5" customHeight="1">
      <c r="A443" s="26"/>
      <c r="B443" s="26"/>
      <c r="C443" s="26"/>
      <c r="D443" s="26"/>
      <c r="E443" s="27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  <c r="AA443" s="26"/>
      <c r="AB443" s="26"/>
      <c r="AC443" s="26"/>
      <c r="AD443" s="26"/>
    </row>
    <row r="444" spans="1:30" ht="13.5" customHeight="1">
      <c r="A444" s="26"/>
      <c r="B444" s="26"/>
      <c r="C444" s="26"/>
      <c r="D444" s="26"/>
      <c r="E444" s="27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  <c r="AA444" s="26"/>
      <c r="AB444" s="26"/>
      <c r="AC444" s="26"/>
      <c r="AD444" s="26"/>
    </row>
    <row r="445" spans="1:30" ht="13.5" customHeight="1">
      <c r="A445" s="26"/>
      <c r="B445" s="26"/>
      <c r="C445" s="26"/>
      <c r="D445" s="26"/>
      <c r="E445" s="27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  <c r="AA445" s="26"/>
      <c r="AB445" s="26"/>
      <c r="AC445" s="26"/>
      <c r="AD445" s="26"/>
    </row>
    <row r="446" spans="1:30" ht="13.5" customHeight="1">
      <c r="A446" s="26"/>
      <c r="B446" s="26"/>
      <c r="C446" s="26"/>
      <c r="D446" s="26"/>
      <c r="E446" s="27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  <c r="AA446" s="26"/>
      <c r="AB446" s="26"/>
      <c r="AC446" s="26"/>
      <c r="AD446" s="26"/>
    </row>
    <row r="447" spans="1:30" ht="13.5" customHeight="1">
      <c r="A447" s="26"/>
      <c r="B447" s="26"/>
      <c r="C447" s="26"/>
      <c r="D447" s="26"/>
      <c r="E447" s="27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  <c r="AA447" s="26"/>
      <c r="AB447" s="26"/>
      <c r="AC447" s="26"/>
      <c r="AD447" s="26"/>
    </row>
    <row r="448" spans="1:30" ht="13.5" customHeight="1">
      <c r="A448" s="26"/>
      <c r="B448" s="26"/>
      <c r="C448" s="26"/>
      <c r="D448" s="26"/>
      <c r="E448" s="27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  <c r="AA448" s="26"/>
      <c r="AB448" s="26"/>
      <c r="AC448" s="26"/>
      <c r="AD448" s="26"/>
    </row>
    <row r="449" spans="1:30" ht="13.5" customHeight="1">
      <c r="A449" s="26"/>
      <c r="B449" s="26"/>
      <c r="C449" s="26"/>
      <c r="D449" s="26"/>
      <c r="E449" s="27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  <c r="AA449" s="26"/>
      <c r="AB449" s="26"/>
      <c r="AC449" s="26"/>
      <c r="AD449" s="26"/>
    </row>
    <row r="450" spans="1:30" ht="13.5" customHeight="1">
      <c r="A450" s="26"/>
      <c r="B450" s="26"/>
      <c r="C450" s="26"/>
      <c r="D450" s="26"/>
      <c r="E450" s="27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  <c r="AA450" s="26"/>
      <c r="AB450" s="26"/>
      <c r="AC450" s="26"/>
      <c r="AD450" s="26"/>
    </row>
    <row r="451" spans="1:30" ht="13.5" customHeight="1">
      <c r="A451" s="26"/>
      <c r="B451" s="26"/>
      <c r="C451" s="26"/>
      <c r="D451" s="26"/>
      <c r="E451" s="27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  <c r="AA451" s="26"/>
      <c r="AB451" s="26"/>
      <c r="AC451" s="26"/>
      <c r="AD451" s="26"/>
    </row>
    <row r="452" spans="1:30" ht="13.5" customHeight="1">
      <c r="A452" s="26"/>
      <c r="B452" s="26"/>
      <c r="C452" s="26"/>
      <c r="D452" s="26"/>
      <c r="E452" s="27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  <c r="AA452" s="26"/>
      <c r="AB452" s="26"/>
      <c r="AC452" s="26"/>
      <c r="AD452" s="26"/>
    </row>
    <row r="453" spans="1:30" ht="13.5" customHeight="1">
      <c r="A453" s="26"/>
      <c r="B453" s="26"/>
      <c r="C453" s="26"/>
      <c r="D453" s="26"/>
      <c r="E453" s="27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  <c r="AA453" s="26"/>
      <c r="AB453" s="26"/>
      <c r="AC453" s="26"/>
      <c r="AD453" s="26"/>
    </row>
    <row r="454" spans="1:30" ht="13.5" customHeight="1">
      <c r="A454" s="26"/>
      <c r="B454" s="26"/>
      <c r="C454" s="26"/>
      <c r="D454" s="26"/>
      <c r="E454" s="27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  <c r="AA454" s="26"/>
      <c r="AB454" s="26"/>
      <c r="AC454" s="26"/>
      <c r="AD454" s="26"/>
    </row>
    <row r="455" spans="1:30" ht="13.5" customHeight="1">
      <c r="A455" s="26"/>
      <c r="B455" s="26"/>
      <c r="C455" s="26"/>
      <c r="D455" s="26"/>
      <c r="E455" s="27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  <c r="AA455" s="26"/>
      <c r="AB455" s="26"/>
      <c r="AC455" s="26"/>
      <c r="AD455" s="26"/>
    </row>
    <row r="456" spans="1:30" ht="13.5" customHeight="1">
      <c r="A456" s="26"/>
      <c r="B456" s="26"/>
      <c r="C456" s="26"/>
      <c r="D456" s="26"/>
      <c r="E456" s="27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  <c r="AA456" s="26"/>
      <c r="AB456" s="26"/>
      <c r="AC456" s="26"/>
      <c r="AD456" s="26"/>
    </row>
    <row r="457" spans="1:30" ht="13.5" customHeight="1">
      <c r="A457" s="26"/>
      <c r="B457" s="26"/>
      <c r="C457" s="26"/>
      <c r="D457" s="26"/>
      <c r="E457" s="27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  <c r="AA457" s="26"/>
      <c r="AB457" s="26"/>
      <c r="AC457" s="26"/>
      <c r="AD457" s="26"/>
    </row>
    <row r="458" spans="1:30" ht="13.5" customHeight="1">
      <c r="A458" s="26"/>
      <c r="B458" s="26"/>
      <c r="C458" s="26"/>
      <c r="D458" s="26"/>
      <c r="E458" s="27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  <c r="AA458" s="26"/>
      <c r="AB458" s="26"/>
      <c r="AC458" s="26"/>
      <c r="AD458" s="26"/>
    </row>
    <row r="459" spans="1:30" ht="13.5" customHeight="1">
      <c r="A459" s="26"/>
      <c r="B459" s="26"/>
      <c r="C459" s="26"/>
      <c r="D459" s="26"/>
      <c r="E459" s="27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  <c r="AA459" s="26"/>
      <c r="AB459" s="26"/>
      <c r="AC459" s="26"/>
      <c r="AD459" s="26"/>
    </row>
    <row r="460" spans="1:30" ht="13.5" customHeight="1">
      <c r="A460" s="26"/>
      <c r="B460" s="26"/>
      <c r="C460" s="26"/>
      <c r="D460" s="26"/>
      <c r="E460" s="27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  <c r="AA460" s="26"/>
      <c r="AB460" s="26"/>
      <c r="AC460" s="26"/>
      <c r="AD460" s="26"/>
    </row>
    <row r="461" spans="1:30" ht="13.5" customHeight="1">
      <c r="A461" s="26"/>
      <c r="B461" s="26"/>
      <c r="C461" s="26"/>
      <c r="D461" s="26"/>
      <c r="E461" s="27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  <c r="AA461" s="26"/>
      <c r="AB461" s="26"/>
      <c r="AC461" s="26"/>
      <c r="AD461" s="26"/>
    </row>
    <row r="462" spans="1:30" ht="13.5" customHeight="1">
      <c r="A462" s="26"/>
      <c r="B462" s="26"/>
      <c r="C462" s="26"/>
      <c r="D462" s="26"/>
      <c r="E462" s="27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  <c r="AA462" s="26"/>
      <c r="AB462" s="26"/>
      <c r="AC462" s="26"/>
      <c r="AD462" s="26"/>
    </row>
    <row r="463" spans="1:30" ht="13.5" customHeight="1">
      <c r="A463" s="26"/>
      <c r="B463" s="26"/>
      <c r="C463" s="26"/>
      <c r="D463" s="26"/>
      <c r="E463" s="27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  <c r="AA463" s="26"/>
      <c r="AB463" s="26"/>
      <c r="AC463" s="26"/>
      <c r="AD463" s="26"/>
    </row>
    <row r="464" spans="1:30" ht="13.5" customHeight="1">
      <c r="A464" s="26"/>
      <c r="B464" s="26"/>
      <c r="C464" s="26"/>
      <c r="D464" s="26"/>
      <c r="E464" s="27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  <c r="AA464" s="26"/>
      <c r="AB464" s="26"/>
      <c r="AC464" s="26"/>
      <c r="AD464" s="26"/>
    </row>
    <row r="465" spans="1:30" ht="13.5" customHeight="1">
      <c r="A465" s="26"/>
      <c r="B465" s="26"/>
      <c r="C465" s="26"/>
      <c r="D465" s="26"/>
      <c r="E465" s="27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  <c r="AA465" s="26"/>
      <c r="AB465" s="26"/>
      <c r="AC465" s="26"/>
      <c r="AD465" s="26"/>
    </row>
    <row r="466" spans="1:30" ht="13.5" customHeight="1">
      <c r="A466" s="26"/>
      <c r="B466" s="26"/>
      <c r="C466" s="26"/>
      <c r="D466" s="26"/>
      <c r="E466" s="27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  <c r="AA466" s="26"/>
      <c r="AB466" s="26"/>
      <c r="AC466" s="26"/>
      <c r="AD466" s="26"/>
    </row>
    <row r="467" spans="1:30" ht="13.5" customHeight="1">
      <c r="A467" s="26"/>
      <c r="B467" s="26"/>
      <c r="C467" s="26"/>
      <c r="D467" s="26"/>
      <c r="E467" s="27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  <c r="AA467" s="26"/>
      <c r="AB467" s="26"/>
      <c r="AC467" s="26"/>
      <c r="AD467" s="26"/>
    </row>
    <row r="468" spans="1:30" ht="13.5" customHeight="1">
      <c r="A468" s="26"/>
      <c r="B468" s="26"/>
      <c r="C468" s="26"/>
      <c r="D468" s="26"/>
      <c r="E468" s="27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  <c r="AA468" s="26"/>
      <c r="AB468" s="26"/>
      <c r="AC468" s="26"/>
      <c r="AD468" s="26"/>
    </row>
    <row r="469" spans="1:30" ht="13.5" customHeight="1">
      <c r="A469" s="26"/>
      <c r="B469" s="26"/>
      <c r="C469" s="26"/>
      <c r="D469" s="26"/>
      <c r="E469" s="27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  <c r="AA469" s="26"/>
      <c r="AB469" s="26"/>
      <c r="AC469" s="26"/>
      <c r="AD469" s="26"/>
    </row>
    <row r="470" spans="1:30" ht="13.5" customHeight="1">
      <c r="A470" s="26"/>
      <c r="B470" s="26"/>
      <c r="C470" s="26"/>
      <c r="D470" s="26"/>
      <c r="E470" s="27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  <c r="AA470" s="26"/>
      <c r="AB470" s="26"/>
      <c r="AC470" s="26"/>
      <c r="AD470" s="26"/>
    </row>
    <row r="471" spans="1:30" ht="13.5" customHeight="1">
      <c r="A471" s="26"/>
      <c r="B471" s="26"/>
      <c r="C471" s="26"/>
      <c r="D471" s="26"/>
      <c r="E471" s="27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  <c r="AA471" s="26"/>
      <c r="AB471" s="26"/>
      <c r="AC471" s="26"/>
      <c r="AD471" s="26"/>
    </row>
    <row r="472" spans="1:30" ht="13.5" customHeight="1">
      <c r="A472" s="26"/>
      <c r="B472" s="26"/>
      <c r="C472" s="26"/>
      <c r="D472" s="26"/>
      <c r="E472" s="27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  <c r="AA472" s="26"/>
      <c r="AB472" s="26"/>
      <c r="AC472" s="26"/>
      <c r="AD472" s="26"/>
    </row>
    <row r="473" spans="1:30" ht="13.5" customHeight="1">
      <c r="A473" s="26"/>
      <c r="B473" s="26"/>
      <c r="C473" s="26"/>
      <c r="D473" s="26"/>
      <c r="E473" s="27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  <c r="AA473" s="26"/>
      <c r="AB473" s="26"/>
      <c r="AC473" s="26"/>
      <c r="AD473" s="26"/>
    </row>
    <row r="474" spans="1:30" ht="13.5" customHeight="1">
      <c r="A474" s="26"/>
      <c r="B474" s="26"/>
      <c r="C474" s="26"/>
      <c r="D474" s="26"/>
      <c r="E474" s="27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  <c r="AA474" s="26"/>
      <c r="AB474" s="26"/>
      <c r="AC474" s="26"/>
      <c r="AD474" s="26"/>
    </row>
    <row r="475" spans="1:30" ht="13.5" customHeight="1">
      <c r="A475" s="26"/>
      <c r="B475" s="26"/>
      <c r="C475" s="26"/>
      <c r="D475" s="26"/>
      <c r="E475" s="27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  <c r="AA475" s="26"/>
      <c r="AB475" s="26"/>
      <c r="AC475" s="26"/>
      <c r="AD475" s="26"/>
    </row>
    <row r="476" spans="1:30" ht="13.5" customHeight="1">
      <c r="A476" s="26"/>
      <c r="B476" s="26"/>
      <c r="C476" s="26"/>
      <c r="D476" s="26"/>
      <c r="E476" s="27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  <c r="AA476" s="26"/>
      <c r="AB476" s="26"/>
      <c r="AC476" s="26"/>
      <c r="AD476" s="26"/>
    </row>
    <row r="477" spans="1:30" ht="13.5" customHeight="1">
      <c r="A477" s="26"/>
      <c r="B477" s="26"/>
      <c r="C477" s="26"/>
      <c r="D477" s="26"/>
      <c r="E477" s="27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  <c r="AA477" s="26"/>
      <c r="AB477" s="26"/>
      <c r="AC477" s="26"/>
      <c r="AD477" s="26"/>
    </row>
    <row r="478" spans="1:30" ht="13.5" customHeight="1">
      <c r="A478" s="26"/>
      <c r="B478" s="26"/>
      <c r="C478" s="26"/>
      <c r="D478" s="26"/>
      <c r="E478" s="27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  <c r="AA478" s="26"/>
      <c r="AB478" s="26"/>
      <c r="AC478" s="26"/>
      <c r="AD478" s="26"/>
    </row>
    <row r="479" spans="1:30" ht="13.5" customHeight="1">
      <c r="A479" s="26"/>
      <c r="B479" s="26"/>
      <c r="C479" s="26"/>
      <c r="D479" s="26"/>
      <c r="E479" s="27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  <c r="AA479" s="26"/>
      <c r="AB479" s="26"/>
      <c r="AC479" s="26"/>
      <c r="AD479" s="26"/>
    </row>
    <row r="480" spans="1:30" ht="13.5" customHeight="1">
      <c r="A480" s="26"/>
      <c r="B480" s="26"/>
      <c r="C480" s="26"/>
      <c r="D480" s="26"/>
      <c r="E480" s="27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  <c r="AA480" s="26"/>
      <c r="AB480" s="26"/>
      <c r="AC480" s="26"/>
      <c r="AD480" s="26"/>
    </row>
    <row r="481" spans="1:30" ht="13.5" customHeight="1">
      <c r="A481" s="26"/>
      <c r="B481" s="26"/>
      <c r="C481" s="26"/>
      <c r="D481" s="26"/>
      <c r="E481" s="27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  <c r="AA481" s="26"/>
      <c r="AB481" s="26"/>
      <c r="AC481" s="26"/>
      <c r="AD481" s="26"/>
    </row>
    <row r="482" spans="1:30" ht="13.5" customHeight="1">
      <c r="A482" s="26"/>
      <c r="B482" s="26"/>
      <c r="C482" s="26"/>
      <c r="D482" s="26"/>
      <c r="E482" s="27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  <c r="AA482" s="26"/>
      <c r="AB482" s="26"/>
      <c r="AC482" s="26"/>
      <c r="AD482" s="26"/>
    </row>
    <row r="483" spans="1:30" ht="13.5" customHeight="1">
      <c r="A483" s="26"/>
      <c r="B483" s="26"/>
      <c r="C483" s="26"/>
      <c r="D483" s="26"/>
      <c r="E483" s="27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  <c r="AA483" s="26"/>
      <c r="AB483" s="26"/>
      <c r="AC483" s="26"/>
      <c r="AD483" s="26"/>
    </row>
    <row r="484" spans="1:30" ht="13.5" customHeight="1">
      <c r="A484" s="26"/>
      <c r="B484" s="26"/>
      <c r="C484" s="26"/>
      <c r="D484" s="26"/>
      <c r="E484" s="27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  <c r="AA484" s="26"/>
      <c r="AB484" s="26"/>
      <c r="AC484" s="26"/>
      <c r="AD484" s="26"/>
    </row>
    <row r="485" spans="1:30" ht="13.5" customHeight="1">
      <c r="A485" s="26"/>
      <c r="B485" s="26"/>
      <c r="C485" s="26"/>
      <c r="D485" s="26"/>
      <c r="E485" s="27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  <c r="AA485" s="26"/>
      <c r="AB485" s="26"/>
      <c r="AC485" s="26"/>
      <c r="AD485" s="26"/>
    </row>
    <row r="486" spans="1:30" ht="13.5" customHeight="1">
      <c r="A486" s="26"/>
      <c r="B486" s="26"/>
      <c r="C486" s="26"/>
      <c r="D486" s="26"/>
      <c r="E486" s="27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  <c r="AA486" s="26"/>
      <c r="AB486" s="26"/>
      <c r="AC486" s="26"/>
      <c r="AD486" s="26"/>
    </row>
    <row r="487" spans="1:30" ht="13.5" customHeight="1">
      <c r="A487" s="26"/>
      <c r="B487" s="26"/>
      <c r="C487" s="26"/>
      <c r="D487" s="26"/>
      <c r="E487" s="27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  <c r="AA487" s="26"/>
      <c r="AB487" s="26"/>
      <c r="AC487" s="26"/>
      <c r="AD487" s="26"/>
    </row>
    <row r="488" spans="1:30" ht="13.5" customHeight="1">
      <c r="A488" s="26"/>
      <c r="B488" s="26"/>
      <c r="C488" s="26"/>
      <c r="D488" s="26"/>
      <c r="E488" s="27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  <c r="AA488" s="26"/>
      <c r="AB488" s="26"/>
      <c r="AC488" s="26"/>
      <c r="AD488" s="26"/>
    </row>
    <row r="489" spans="1:30" ht="13.5" customHeight="1">
      <c r="A489" s="26"/>
      <c r="B489" s="26"/>
      <c r="C489" s="26"/>
      <c r="D489" s="26"/>
      <c r="E489" s="27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  <c r="AA489" s="26"/>
      <c r="AB489" s="26"/>
      <c r="AC489" s="26"/>
      <c r="AD489" s="26"/>
    </row>
    <row r="490" spans="1:30" ht="13.5" customHeight="1">
      <c r="A490" s="26"/>
      <c r="B490" s="26"/>
      <c r="C490" s="26"/>
      <c r="D490" s="26"/>
      <c r="E490" s="27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  <c r="AA490" s="26"/>
      <c r="AB490" s="26"/>
      <c r="AC490" s="26"/>
      <c r="AD490" s="26"/>
    </row>
    <row r="491" spans="1:30" ht="13.5" customHeight="1">
      <c r="A491" s="26"/>
      <c r="B491" s="26"/>
      <c r="C491" s="26"/>
      <c r="D491" s="26"/>
      <c r="E491" s="27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  <c r="AA491" s="26"/>
      <c r="AB491" s="26"/>
      <c r="AC491" s="26"/>
      <c r="AD491" s="26"/>
    </row>
    <row r="492" spans="1:30" ht="13.5" customHeight="1">
      <c r="A492" s="26"/>
      <c r="B492" s="26"/>
      <c r="C492" s="26"/>
      <c r="D492" s="26"/>
      <c r="E492" s="27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  <c r="AA492" s="26"/>
      <c r="AB492" s="26"/>
      <c r="AC492" s="26"/>
      <c r="AD492" s="26"/>
    </row>
    <row r="493" spans="1:30" ht="13.5" customHeight="1">
      <c r="A493" s="26"/>
      <c r="B493" s="26"/>
      <c r="C493" s="26"/>
      <c r="D493" s="26"/>
      <c r="E493" s="27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  <c r="AA493" s="26"/>
      <c r="AB493" s="26"/>
      <c r="AC493" s="26"/>
      <c r="AD493" s="26"/>
    </row>
    <row r="494" spans="1:30" ht="13.5" customHeight="1">
      <c r="A494" s="26"/>
      <c r="B494" s="26"/>
      <c r="C494" s="26"/>
      <c r="D494" s="26"/>
      <c r="E494" s="27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  <c r="AA494" s="26"/>
      <c r="AB494" s="26"/>
      <c r="AC494" s="26"/>
      <c r="AD494" s="26"/>
    </row>
    <row r="495" spans="1:30" ht="13.5" customHeight="1">
      <c r="A495" s="26"/>
      <c r="B495" s="26"/>
      <c r="C495" s="26"/>
      <c r="D495" s="26"/>
      <c r="E495" s="27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  <c r="AA495" s="26"/>
      <c r="AB495" s="26"/>
      <c r="AC495" s="26"/>
      <c r="AD495" s="26"/>
    </row>
    <row r="496" spans="1:30" ht="13.5" customHeight="1">
      <c r="A496" s="26"/>
      <c r="B496" s="26"/>
      <c r="C496" s="26"/>
      <c r="D496" s="26"/>
      <c r="E496" s="27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  <c r="AA496" s="26"/>
      <c r="AB496" s="26"/>
      <c r="AC496" s="26"/>
      <c r="AD496" s="26"/>
    </row>
    <row r="497" spans="1:30" ht="13.5" customHeight="1">
      <c r="A497" s="26"/>
      <c r="B497" s="26"/>
      <c r="C497" s="26"/>
      <c r="D497" s="26"/>
      <c r="E497" s="27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  <c r="AA497" s="26"/>
      <c r="AB497" s="26"/>
      <c r="AC497" s="26"/>
      <c r="AD497" s="26"/>
    </row>
    <row r="498" spans="1:30" ht="13.5" customHeight="1">
      <c r="A498" s="26"/>
      <c r="B498" s="26"/>
      <c r="C498" s="26"/>
      <c r="D498" s="26"/>
      <c r="E498" s="27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  <c r="AA498" s="26"/>
      <c r="AB498" s="26"/>
      <c r="AC498" s="26"/>
      <c r="AD498" s="26"/>
    </row>
    <row r="499" spans="1:30" ht="13.5" customHeight="1">
      <c r="A499" s="26"/>
      <c r="B499" s="26"/>
      <c r="C499" s="26"/>
      <c r="D499" s="26"/>
      <c r="E499" s="27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  <c r="AA499" s="26"/>
      <c r="AB499" s="26"/>
      <c r="AC499" s="26"/>
      <c r="AD499" s="26"/>
    </row>
    <row r="500" spans="1:30" ht="13.5" customHeight="1">
      <c r="A500" s="26"/>
      <c r="B500" s="26"/>
      <c r="C500" s="26"/>
      <c r="D500" s="26"/>
      <c r="E500" s="27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  <c r="AA500" s="26"/>
      <c r="AB500" s="26"/>
      <c r="AC500" s="26"/>
      <c r="AD500" s="26"/>
    </row>
    <row r="501" spans="1:30" ht="13.5" customHeight="1">
      <c r="A501" s="26"/>
      <c r="B501" s="26"/>
      <c r="C501" s="26"/>
      <c r="D501" s="26"/>
      <c r="E501" s="27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  <c r="AA501" s="26"/>
      <c r="AB501" s="26"/>
      <c r="AC501" s="26"/>
      <c r="AD501" s="26"/>
    </row>
    <row r="502" spans="1:30" ht="13.5" customHeight="1">
      <c r="A502" s="26"/>
      <c r="B502" s="26"/>
      <c r="C502" s="26"/>
      <c r="D502" s="26"/>
      <c r="E502" s="27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  <c r="AA502" s="26"/>
      <c r="AB502" s="26"/>
      <c r="AC502" s="26"/>
      <c r="AD502" s="26"/>
    </row>
    <row r="503" spans="1:30" ht="13.5" customHeight="1">
      <c r="A503" s="26"/>
      <c r="B503" s="26"/>
      <c r="C503" s="26"/>
      <c r="D503" s="26"/>
      <c r="E503" s="27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  <c r="AA503" s="26"/>
      <c r="AB503" s="26"/>
      <c r="AC503" s="26"/>
      <c r="AD503" s="26"/>
    </row>
    <row r="504" spans="1:30" ht="13.5" customHeight="1">
      <c r="A504" s="26"/>
      <c r="B504" s="26"/>
      <c r="C504" s="26"/>
      <c r="D504" s="26"/>
      <c r="E504" s="27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  <c r="AA504" s="26"/>
      <c r="AB504" s="26"/>
      <c r="AC504" s="26"/>
      <c r="AD504" s="26"/>
    </row>
    <row r="505" spans="1:30" ht="13.5" customHeight="1">
      <c r="A505" s="26"/>
      <c r="B505" s="26"/>
      <c r="C505" s="26"/>
      <c r="D505" s="26"/>
      <c r="E505" s="27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  <c r="AA505" s="26"/>
      <c r="AB505" s="26"/>
      <c r="AC505" s="26"/>
      <c r="AD505" s="26"/>
    </row>
    <row r="506" spans="1:30" ht="13.5" customHeight="1">
      <c r="A506" s="26"/>
      <c r="B506" s="26"/>
      <c r="C506" s="26"/>
      <c r="D506" s="26"/>
      <c r="E506" s="27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  <c r="AA506" s="26"/>
      <c r="AB506" s="26"/>
      <c r="AC506" s="26"/>
      <c r="AD506" s="26"/>
    </row>
    <row r="507" spans="1:30" ht="13.5" customHeight="1">
      <c r="A507" s="26"/>
      <c r="B507" s="26"/>
      <c r="C507" s="26"/>
      <c r="D507" s="26"/>
      <c r="E507" s="27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  <c r="AA507" s="26"/>
      <c r="AB507" s="26"/>
      <c r="AC507" s="26"/>
      <c r="AD507" s="26"/>
    </row>
    <row r="508" spans="1:30" ht="13.5" customHeight="1">
      <c r="A508" s="26"/>
      <c r="B508" s="26"/>
      <c r="C508" s="26"/>
      <c r="D508" s="26"/>
      <c r="E508" s="27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  <c r="AA508" s="26"/>
      <c r="AB508" s="26"/>
      <c r="AC508" s="26"/>
      <c r="AD508" s="26"/>
    </row>
    <row r="509" spans="1:30" ht="13.5" customHeight="1">
      <c r="A509" s="26"/>
      <c r="B509" s="26"/>
      <c r="C509" s="26"/>
      <c r="D509" s="26"/>
      <c r="E509" s="27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  <c r="AA509" s="26"/>
      <c r="AB509" s="26"/>
      <c r="AC509" s="26"/>
      <c r="AD509" s="26"/>
    </row>
    <row r="510" spans="1:30" ht="13.5" customHeight="1">
      <c r="A510" s="26"/>
      <c r="B510" s="26"/>
      <c r="C510" s="26"/>
      <c r="D510" s="26"/>
      <c r="E510" s="27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  <c r="AA510" s="26"/>
      <c r="AB510" s="26"/>
      <c r="AC510" s="26"/>
      <c r="AD510" s="26"/>
    </row>
    <row r="511" spans="1:30" ht="13.5" customHeight="1">
      <c r="A511" s="26"/>
      <c r="B511" s="26"/>
      <c r="C511" s="26"/>
      <c r="D511" s="26"/>
      <c r="E511" s="27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  <c r="AA511" s="26"/>
      <c r="AB511" s="26"/>
      <c r="AC511" s="26"/>
      <c r="AD511" s="26"/>
    </row>
    <row r="512" spans="1:30" ht="13.5" customHeight="1">
      <c r="A512" s="26"/>
      <c r="B512" s="26"/>
      <c r="C512" s="26"/>
      <c r="D512" s="26"/>
      <c r="E512" s="27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  <c r="AA512" s="26"/>
      <c r="AB512" s="26"/>
      <c r="AC512" s="26"/>
      <c r="AD512" s="26"/>
    </row>
    <row r="513" spans="1:30" ht="13.5" customHeight="1">
      <c r="A513" s="26"/>
      <c r="B513" s="26"/>
      <c r="C513" s="26"/>
      <c r="D513" s="26"/>
      <c r="E513" s="27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  <c r="AA513" s="26"/>
      <c r="AB513" s="26"/>
      <c r="AC513" s="26"/>
      <c r="AD513" s="26"/>
    </row>
    <row r="514" spans="1:30" ht="13.5" customHeight="1">
      <c r="A514" s="26"/>
      <c r="B514" s="26"/>
      <c r="C514" s="26"/>
      <c r="D514" s="26"/>
      <c r="E514" s="27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  <c r="AA514" s="26"/>
      <c r="AB514" s="26"/>
      <c r="AC514" s="26"/>
      <c r="AD514" s="26"/>
    </row>
    <row r="515" spans="1:30" ht="13.5" customHeight="1">
      <c r="A515" s="26"/>
      <c r="B515" s="26"/>
      <c r="C515" s="26"/>
      <c r="D515" s="26"/>
      <c r="E515" s="27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  <c r="AA515" s="26"/>
      <c r="AB515" s="26"/>
      <c r="AC515" s="26"/>
      <c r="AD515" s="26"/>
    </row>
    <row r="516" spans="1:30" ht="13.5" customHeight="1">
      <c r="A516" s="26"/>
      <c r="B516" s="26"/>
      <c r="C516" s="26"/>
      <c r="D516" s="26"/>
      <c r="E516" s="27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  <c r="AA516" s="26"/>
      <c r="AB516" s="26"/>
      <c r="AC516" s="26"/>
      <c r="AD516" s="26"/>
    </row>
    <row r="517" spans="1:30" ht="13.5" customHeight="1">
      <c r="A517" s="26"/>
      <c r="B517" s="26"/>
      <c r="C517" s="26"/>
      <c r="D517" s="26"/>
      <c r="E517" s="27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  <c r="AA517" s="26"/>
      <c r="AB517" s="26"/>
      <c r="AC517" s="26"/>
      <c r="AD517" s="26"/>
    </row>
    <row r="518" spans="1:30" ht="13.5" customHeight="1">
      <c r="A518" s="26"/>
      <c r="B518" s="26"/>
      <c r="C518" s="26"/>
      <c r="D518" s="26"/>
      <c r="E518" s="27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  <c r="AA518" s="26"/>
      <c r="AB518" s="26"/>
      <c r="AC518" s="26"/>
      <c r="AD518" s="26"/>
    </row>
    <row r="519" spans="1:30" ht="13.5" customHeight="1">
      <c r="A519" s="26"/>
      <c r="B519" s="26"/>
      <c r="C519" s="26"/>
      <c r="D519" s="26"/>
      <c r="E519" s="27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  <c r="AA519" s="26"/>
      <c r="AB519" s="26"/>
      <c r="AC519" s="26"/>
      <c r="AD519" s="26"/>
    </row>
    <row r="520" spans="1:30" ht="13.5" customHeight="1">
      <c r="A520" s="26"/>
      <c r="B520" s="26"/>
      <c r="C520" s="26"/>
      <c r="D520" s="26"/>
      <c r="E520" s="27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  <c r="AA520" s="26"/>
      <c r="AB520" s="26"/>
      <c r="AC520" s="26"/>
      <c r="AD520" s="26"/>
    </row>
    <row r="521" spans="1:30" ht="13.5" customHeight="1">
      <c r="A521" s="26"/>
      <c r="B521" s="26"/>
      <c r="C521" s="26"/>
      <c r="D521" s="26"/>
      <c r="E521" s="27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  <c r="AA521" s="26"/>
      <c r="AB521" s="26"/>
      <c r="AC521" s="26"/>
      <c r="AD521" s="26"/>
    </row>
    <row r="522" spans="1:30" ht="13.5" customHeight="1">
      <c r="A522" s="26"/>
      <c r="B522" s="26"/>
      <c r="C522" s="26"/>
      <c r="D522" s="26"/>
      <c r="E522" s="27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  <c r="AA522" s="26"/>
      <c r="AB522" s="26"/>
      <c r="AC522" s="26"/>
      <c r="AD522" s="26"/>
    </row>
    <row r="523" spans="1:30" ht="13.5" customHeight="1">
      <c r="A523" s="26"/>
      <c r="B523" s="26"/>
      <c r="C523" s="26"/>
      <c r="D523" s="26"/>
      <c r="E523" s="27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  <c r="AA523" s="26"/>
      <c r="AB523" s="26"/>
      <c r="AC523" s="26"/>
      <c r="AD523" s="26"/>
    </row>
    <row r="524" spans="1:30" ht="13.5" customHeight="1">
      <c r="A524" s="26"/>
      <c r="B524" s="26"/>
      <c r="C524" s="26"/>
      <c r="D524" s="26"/>
      <c r="E524" s="27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  <c r="AA524" s="26"/>
      <c r="AB524" s="26"/>
      <c r="AC524" s="26"/>
      <c r="AD524" s="26"/>
    </row>
    <row r="525" spans="1:30" ht="13.5" customHeight="1">
      <c r="A525" s="26"/>
      <c r="B525" s="26"/>
      <c r="C525" s="26"/>
      <c r="D525" s="26"/>
      <c r="E525" s="27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  <c r="AA525" s="26"/>
      <c r="AB525" s="26"/>
      <c r="AC525" s="26"/>
      <c r="AD525" s="26"/>
    </row>
    <row r="526" spans="1:30" ht="13.5" customHeight="1">
      <c r="A526" s="26"/>
      <c r="B526" s="26"/>
      <c r="C526" s="26"/>
      <c r="D526" s="26"/>
      <c r="E526" s="27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  <c r="AA526" s="26"/>
      <c r="AB526" s="26"/>
      <c r="AC526" s="26"/>
      <c r="AD526" s="26"/>
    </row>
    <row r="527" spans="1:30" ht="13.5" customHeight="1">
      <c r="A527" s="26"/>
      <c r="B527" s="26"/>
      <c r="C527" s="26"/>
      <c r="D527" s="26"/>
      <c r="E527" s="27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  <c r="AA527" s="26"/>
      <c r="AB527" s="26"/>
      <c r="AC527" s="26"/>
      <c r="AD527" s="26"/>
    </row>
    <row r="528" spans="1:30" ht="13.5" customHeight="1">
      <c r="A528" s="26"/>
      <c r="B528" s="26"/>
      <c r="C528" s="26"/>
      <c r="D528" s="26"/>
      <c r="E528" s="27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  <c r="AA528" s="26"/>
      <c r="AB528" s="26"/>
      <c r="AC528" s="26"/>
      <c r="AD528" s="26"/>
    </row>
    <row r="529" spans="1:30" ht="13.5" customHeight="1">
      <c r="A529" s="26"/>
      <c r="B529" s="26"/>
      <c r="C529" s="26"/>
      <c r="D529" s="26"/>
      <c r="E529" s="27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  <c r="AA529" s="26"/>
      <c r="AB529" s="26"/>
      <c r="AC529" s="26"/>
      <c r="AD529" s="26"/>
    </row>
    <row r="530" spans="1:30" ht="13.5" customHeight="1">
      <c r="A530" s="26"/>
      <c r="B530" s="26"/>
      <c r="C530" s="26"/>
      <c r="D530" s="26"/>
      <c r="E530" s="27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  <c r="AA530" s="26"/>
      <c r="AB530" s="26"/>
      <c r="AC530" s="26"/>
      <c r="AD530" s="26"/>
    </row>
    <row r="531" spans="1:30" ht="13.5" customHeight="1">
      <c r="A531" s="26"/>
      <c r="B531" s="26"/>
      <c r="C531" s="26"/>
      <c r="D531" s="26"/>
      <c r="E531" s="27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  <c r="AA531" s="26"/>
      <c r="AB531" s="26"/>
      <c r="AC531" s="26"/>
      <c r="AD531" s="26"/>
    </row>
    <row r="532" spans="1:30" ht="13.5" customHeight="1">
      <c r="A532" s="26"/>
      <c r="B532" s="26"/>
      <c r="C532" s="26"/>
      <c r="D532" s="26"/>
      <c r="E532" s="27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  <c r="AA532" s="26"/>
      <c r="AB532" s="26"/>
      <c r="AC532" s="26"/>
      <c r="AD532" s="26"/>
    </row>
    <row r="533" spans="1:30" ht="13.5" customHeight="1">
      <c r="A533" s="26"/>
      <c r="B533" s="26"/>
      <c r="C533" s="26"/>
      <c r="D533" s="26"/>
      <c r="E533" s="27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  <c r="AA533" s="26"/>
      <c r="AB533" s="26"/>
      <c r="AC533" s="26"/>
      <c r="AD533" s="26"/>
    </row>
    <row r="534" spans="1:30" ht="13.5" customHeight="1">
      <c r="A534" s="26"/>
      <c r="B534" s="26"/>
      <c r="C534" s="26"/>
      <c r="D534" s="26"/>
      <c r="E534" s="27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  <c r="AA534" s="26"/>
      <c r="AB534" s="26"/>
      <c r="AC534" s="26"/>
      <c r="AD534" s="26"/>
    </row>
    <row r="535" spans="1:30" ht="13.5" customHeight="1">
      <c r="A535" s="26"/>
      <c r="B535" s="26"/>
      <c r="C535" s="26"/>
      <c r="D535" s="26"/>
      <c r="E535" s="27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  <c r="AA535" s="26"/>
      <c r="AB535" s="26"/>
      <c r="AC535" s="26"/>
      <c r="AD535" s="26"/>
    </row>
    <row r="536" spans="1:30" ht="13.5" customHeight="1">
      <c r="A536" s="26"/>
      <c r="B536" s="26"/>
      <c r="C536" s="26"/>
      <c r="D536" s="26"/>
      <c r="E536" s="27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  <c r="AA536" s="26"/>
      <c r="AB536" s="26"/>
      <c r="AC536" s="26"/>
      <c r="AD536" s="26"/>
    </row>
    <row r="537" spans="1:30" ht="13.5" customHeight="1">
      <c r="A537" s="26"/>
      <c r="B537" s="26"/>
      <c r="C537" s="26"/>
      <c r="D537" s="26"/>
      <c r="E537" s="27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  <c r="AA537" s="26"/>
      <c r="AB537" s="26"/>
      <c r="AC537" s="26"/>
      <c r="AD537" s="26"/>
    </row>
    <row r="538" spans="1:30" ht="13.5" customHeight="1">
      <c r="A538" s="26"/>
      <c r="B538" s="26"/>
      <c r="C538" s="26"/>
      <c r="D538" s="26"/>
      <c r="E538" s="27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  <c r="AA538" s="26"/>
      <c r="AB538" s="26"/>
      <c r="AC538" s="26"/>
      <c r="AD538" s="26"/>
    </row>
    <row r="539" spans="1:30" ht="13.5" customHeight="1">
      <c r="A539" s="26"/>
      <c r="B539" s="26"/>
      <c r="C539" s="26"/>
      <c r="D539" s="26"/>
      <c r="E539" s="27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  <c r="AA539" s="26"/>
      <c r="AB539" s="26"/>
      <c r="AC539" s="26"/>
      <c r="AD539" s="26"/>
    </row>
    <row r="540" spans="1:30" ht="13.5" customHeight="1">
      <c r="A540" s="26"/>
      <c r="B540" s="26"/>
      <c r="C540" s="26"/>
      <c r="D540" s="26"/>
      <c r="E540" s="27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  <c r="AA540" s="26"/>
      <c r="AB540" s="26"/>
      <c r="AC540" s="26"/>
      <c r="AD540" s="26"/>
    </row>
    <row r="541" spans="1:30" ht="13.5" customHeight="1">
      <c r="A541" s="26"/>
      <c r="B541" s="26"/>
      <c r="C541" s="26"/>
      <c r="D541" s="26"/>
      <c r="E541" s="27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  <c r="AA541" s="26"/>
      <c r="AB541" s="26"/>
      <c r="AC541" s="26"/>
      <c r="AD541" s="26"/>
    </row>
    <row r="542" spans="1:30" ht="13.5" customHeight="1">
      <c r="A542" s="26"/>
      <c r="B542" s="26"/>
      <c r="C542" s="26"/>
      <c r="D542" s="26"/>
      <c r="E542" s="27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  <c r="AA542" s="26"/>
      <c r="AB542" s="26"/>
      <c r="AC542" s="26"/>
      <c r="AD542" s="26"/>
    </row>
    <row r="543" spans="1:30" ht="13.5" customHeight="1">
      <c r="A543" s="26"/>
      <c r="B543" s="26"/>
      <c r="C543" s="26"/>
      <c r="D543" s="26"/>
      <c r="E543" s="27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  <c r="AA543" s="26"/>
      <c r="AB543" s="26"/>
      <c r="AC543" s="26"/>
      <c r="AD543" s="26"/>
    </row>
    <row r="544" spans="1:30" ht="13.5" customHeight="1">
      <c r="A544" s="26"/>
      <c r="B544" s="26"/>
      <c r="C544" s="26"/>
      <c r="D544" s="26"/>
      <c r="E544" s="27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  <c r="AA544" s="26"/>
      <c r="AB544" s="26"/>
      <c r="AC544" s="26"/>
      <c r="AD544" s="26"/>
    </row>
    <row r="545" spans="1:30" ht="13.5" customHeight="1">
      <c r="A545" s="26"/>
      <c r="B545" s="26"/>
      <c r="C545" s="26"/>
      <c r="D545" s="26"/>
      <c r="E545" s="27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  <c r="AA545" s="26"/>
      <c r="AB545" s="26"/>
      <c r="AC545" s="26"/>
      <c r="AD545" s="26"/>
    </row>
    <row r="546" spans="1:30" ht="13.5" customHeight="1">
      <c r="A546" s="26"/>
      <c r="B546" s="26"/>
      <c r="C546" s="26"/>
      <c r="D546" s="26"/>
      <c r="E546" s="27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  <c r="AA546" s="26"/>
      <c r="AB546" s="26"/>
      <c r="AC546" s="26"/>
      <c r="AD546" s="26"/>
    </row>
    <row r="547" spans="1:30" ht="13.5" customHeight="1">
      <c r="A547" s="26"/>
      <c r="B547" s="26"/>
      <c r="C547" s="26"/>
      <c r="D547" s="26"/>
      <c r="E547" s="27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  <c r="AA547" s="26"/>
      <c r="AB547" s="26"/>
      <c r="AC547" s="26"/>
      <c r="AD547" s="26"/>
    </row>
    <row r="548" spans="1:30" ht="13.5" customHeight="1">
      <c r="A548" s="26"/>
      <c r="B548" s="26"/>
      <c r="C548" s="26"/>
      <c r="D548" s="26"/>
      <c r="E548" s="27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  <c r="AA548" s="26"/>
      <c r="AB548" s="26"/>
      <c r="AC548" s="26"/>
      <c r="AD548" s="26"/>
    </row>
    <row r="549" spans="1:30" ht="13.5" customHeight="1">
      <c r="A549" s="26"/>
      <c r="B549" s="26"/>
      <c r="C549" s="26"/>
      <c r="D549" s="26"/>
      <c r="E549" s="27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  <c r="AA549" s="26"/>
      <c r="AB549" s="26"/>
      <c r="AC549" s="26"/>
      <c r="AD549" s="26"/>
    </row>
    <row r="550" spans="1:30" ht="13.5" customHeight="1">
      <c r="A550" s="26"/>
      <c r="B550" s="26"/>
      <c r="C550" s="26"/>
      <c r="D550" s="26"/>
      <c r="E550" s="27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  <c r="AA550" s="26"/>
      <c r="AB550" s="26"/>
      <c r="AC550" s="26"/>
      <c r="AD550" s="26"/>
    </row>
    <row r="551" spans="1:30" ht="13.5" customHeight="1">
      <c r="A551" s="26"/>
      <c r="B551" s="26"/>
      <c r="C551" s="26"/>
      <c r="D551" s="26"/>
      <c r="E551" s="27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  <c r="AA551" s="26"/>
      <c r="AB551" s="26"/>
      <c r="AC551" s="26"/>
      <c r="AD551" s="26"/>
    </row>
    <row r="552" spans="1:30" ht="13.5" customHeight="1">
      <c r="A552" s="26"/>
      <c r="B552" s="26"/>
      <c r="C552" s="26"/>
      <c r="D552" s="26"/>
      <c r="E552" s="27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  <c r="AA552" s="26"/>
      <c r="AB552" s="26"/>
      <c r="AC552" s="26"/>
      <c r="AD552" s="26"/>
    </row>
    <row r="553" spans="1:30" ht="13.5" customHeight="1">
      <c r="A553" s="26"/>
      <c r="B553" s="26"/>
      <c r="C553" s="26"/>
      <c r="D553" s="26"/>
      <c r="E553" s="27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  <c r="AA553" s="26"/>
      <c r="AB553" s="26"/>
      <c r="AC553" s="26"/>
      <c r="AD553" s="26"/>
    </row>
    <row r="554" spans="1:30" ht="13.5" customHeight="1">
      <c r="A554" s="26"/>
      <c r="B554" s="26"/>
      <c r="C554" s="26"/>
      <c r="D554" s="26"/>
      <c r="E554" s="27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  <c r="AA554" s="26"/>
      <c r="AB554" s="26"/>
      <c r="AC554" s="26"/>
      <c r="AD554" s="26"/>
    </row>
    <row r="555" spans="1:30" ht="13.5" customHeight="1">
      <c r="A555" s="26"/>
      <c r="B555" s="26"/>
      <c r="C555" s="26"/>
      <c r="D555" s="26"/>
      <c r="E555" s="27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  <c r="AA555" s="26"/>
      <c r="AB555" s="26"/>
      <c r="AC555" s="26"/>
      <c r="AD555" s="26"/>
    </row>
    <row r="556" spans="1:30" ht="13.5" customHeight="1">
      <c r="A556" s="26"/>
      <c r="B556" s="26"/>
      <c r="C556" s="26"/>
      <c r="D556" s="26"/>
      <c r="E556" s="27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  <c r="AA556" s="26"/>
      <c r="AB556" s="26"/>
      <c r="AC556" s="26"/>
      <c r="AD556" s="26"/>
    </row>
    <row r="557" spans="1:30" ht="13.5" customHeight="1">
      <c r="A557" s="26"/>
      <c r="B557" s="26"/>
      <c r="C557" s="26"/>
      <c r="D557" s="26"/>
      <c r="E557" s="27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  <c r="AA557" s="26"/>
      <c r="AB557" s="26"/>
      <c r="AC557" s="26"/>
      <c r="AD557" s="26"/>
    </row>
    <row r="558" spans="1:30" ht="13.5" customHeight="1">
      <c r="A558" s="26"/>
      <c r="B558" s="26"/>
      <c r="C558" s="26"/>
      <c r="D558" s="26"/>
      <c r="E558" s="27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  <c r="AA558" s="26"/>
      <c r="AB558" s="26"/>
      <c r="AC558" s="26"/>
      <c r="AD558" s="26"/>
    </row>
    <row r="559" spans="1:30" ht="13.5" customHeight="1">
      <c r="A559" s="26"/>
      <c r="B559" s="26"/>
      <c r="C559" s="26"/>
      <c r="D559" s="26"/>
      <c r="E559" s="27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  <c r="AA559" s="26"/>
      <c r="AB559" s="26"/>
      <c r="AC559" s="26"/>
      <c r="AD559" s="26"/>
    </row>
    <row r="560" spans="1:30" ht="13.5" customHeight="1">
      <c r="A560" s="26"/>
      <c r="B560" s="26"/>
      <c r="C560" s="26"/>
      <c r="D560" s="26"/>
      <c r="E560" s="27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  <c r="AA560" s="26"/>
      <c r="AB560" s="26"/>
      <c r="AC560" s="26"/>
      <c r="AD560" s="26"/>
    </row>
    <row r="561" spans="1:30" ht="13.5" customHeight="1">
      <c r="A561" s="26"/>
      <c r="B561" s="26"/>
      <c r="C561" s="26"/>
      <c r="D561" s="26"/>
      <c r="E561" s="27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  <c r="AA561" s="26"/>
      <c r="AB561" s="26"/>
      <c r="AC561" s="26"/>
      <c r="AD561" s="26"/>
    </row>
    <row r="562" spans="1:30" ht="13.5" customHeight="1">
      <c r="A562" s="26"/>
      <c r="B562" s="26"/>
      <c r="C562" s="26"/>
      <c r="D562" s="26"/>
      <c r="E562" s="27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  <c r="AA562" s="26"/>
      <c r="AB562" s="26"/>
      <c r="AC562" s="26"/>
      <c r="AD562" s="26"/>
    </row>
    <row r="563" spans="1:30" ht="13.5" customHeight="1">
      <c r="A563" s="26"/>
      <c r="B563" s="26"/>
      <c r="C563" s="26"/>
      <c r="D563" s="26"/>
      <c r="E563" s="27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  <c r="AA563" s="26"/>
      <c r="AB563" s="26"/>
      <c r="AC563" s="26"/>
      <c r="AD563" s="26"/>
    </row>
    <row r="564" spans="1:30" ht="13.5" customHeight="1">
      <c r="A564" s="26"/>
      <c r="B564" s="26"/>
      <c r="C564" s="26"/>
      <c r="D564" s="26"/>
      <c r="E564" s="27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  <c r="AA564" s="26"/>
      <c r="AB564" s="26"/>
      <c r="AC564" s="26"/>
      <c r="AD564" s="26"/>
    </row>
    <row r="565" spans="1:30" ht="13.5" customHeight="1">
      <c r="A565" s="26"/>
      <c r="B565" s="26"/>
      <c r="C565" s="26"/>
      <c r="D565" s="26"/>
      <c r="E565" s="27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  <c r="AA565" s="26"/>
      <c r="AB565" s="26"/>
      <c r="AC565" s="26"/>
      <c r="AD565" s="26"/>
    </row>
    <row r="566" spans="1:30" ht="13.5" customHeight="1">
      <c r="A566" s="26"/>
      <c r="B566" s="26"/>
      <c r="C566" s="26"/>
      <c r="D566" s="26"/>
      <c r="E566" s="27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  <c r="AA566" s="26"/>
      <c r="AB566" s="26"/>
      <c r="AC566" s="26"/>
      <c r="AD566" s="26"/>
    </row>
    <row r="567" spans="1:30" ht="13.5" customHeight="1">
      <c r="A567" s="26"/>
      <c r="B567" s="26"/>
      <c r="C567" s="26"/>
      <c r="D567" s="26"/>
      <c r="E567" s="27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  <c r="AA567" s="26"/>
      <c r="AB567" s="26"/>
      <c r="AC567" s="26"/>
      <c r="AD567" s="26"/>
    </row>
    <row r="568" spans="1:30" ht="13.5" customHeight="1">
      <c r="A568" s="26"/>
      <c r="B568" s="26"/>
      <c r="C568" s="26"/>
      <c r="D568" s="26"/>
      <c r="E568" s="27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  <c r="AA568" s="26"/>
      <c r="AB568" s="26"/>
      <c r="AC568" s="26"/>
      <c r="AD568" s="26"/>
    </row>
    <row r="569" spans="1:30" ht="13.5" customHeight="1">
      <c r="A569" s="26"/>
      <c r="B569" s="26"/>
      <c r="C569" s="26"/>
      <c r="D569" s="26"/>
      <c r="E569" s="27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  <c r="AA569" s="26"/>
      <c r="AB569" s="26"/>
      <c r="AC569" s="26"/>
      <c r="AD569" s="26"/>
    </row>
    <row r="570" spans="1:30" ht="13.5" customHeight="1">
      <c r="A570" s="26"/>
      <c r="B570" s="26"/>
      <c r="C570" s="26"/>
      <c r="D570" s="26"/>
      <c r="E570" s="27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  <c r="AA570" s="26"/>
      <c r="AB570" s="26"/>
      <c r="AC570" s="26"/>
      <c r="AD570" s="26"/>
    </row>
    <row r="571" spans="1:30" ht="13.5" customHeight="1">
      <c r="A571" s="26"/>
      <c r="B571" s="26"/>
      <c r="C571" s="26"/>
      <c r="D571" s="26"/>
      <c r="E571" s="27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  <c r="AA571" s="26"/>
      <c r="AB571" s="26"/>
      <c r="AC571" s="26"/>
      <c r="AD571" s="26"/>
    </row>
    <row r="572" spans="1:30" ht="13.5" customHeight="1">
      <c r="A572" s="26"/>
      <c r="B572" s="26"/>
      <c r="C572" s="26"/>
      <c r="D572" s="26"/>
      <c r="E572" s="27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  <c r="AA572" s="26"/>
      <c r="AB572" s="26"/>
      <c r="AC572" s="26"/>
      <c r="AD572" s="26"/>
    </row>
    <row r="573" spans="1:30" ht="13.5" customHeight="1">
      <c r="A573" s="26"/>
      <c r="B573" s="26"/>
      <c r="C573" s="26"/>
      <c r="D573" s="26"/>
      <c r="E573" s="27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  <c r="AA573" s="26"/>
      <c r="AB573" s="26"/>
      <c r="AC573" s="26"/>
      <c r="AD573" s="26"/>
    </row>
    <row r="574" spans="1:30" ht="13.5" customHeight="1">
      <c r="A574" s="26"/>
      <c r="B574" s="26"/>
      <c r="C574" s="26"/>
      <c r="D574" s="26"/>
      <c r="E574" s="27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  <c r="AA574" s="26"/>
      <c r="AB574" s="26"/>
      <c r="AC574" s="26"/>
      <c r="AD574" s="26"/>
    </row>
    <row r="575" spans="1:30" ht="13.5" customHeight="1">
      <c r="A575" s="26"/>
      <c r="B575" s="26"/>
      <c r="C575" s="26"/>
      <c r="D575" s="26"/>
      <c r="E575" s="27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  <c r="AA575" s="26"/>
      <c r="AB575" s="26"/>
      <c r="AC575" s="26"/>
      <c r="AD575" s="26"/>
    </row>
    <row r="576" spans="1:30" ht="13.5" customHeight="1">
      <c r="A576" s="26"/>
      <c r="B576" s="26"/>
      <c r="C576" s="26"/>
      <c r="D576" s="26"/>
      <c r="E576" s="27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  <c r="AA576" s="26"/>
      <c r="AB576" s="26"/>
      <c r="AC576" s="26"/>
      <c r="AD576" s="26"/>
    </row>
    <row r="577" spans="1:30" ht="13.5" customHeight="1">
      <c r="A577" s="26"/>
      <c r="B577" s="26"/>
      <c r="C577" s="26"/>
      <c r="D577" s="26"/>
      <c r="E577" s="27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  <c r="AA577" s="26"/>
      <c r="AB577" s="26"/>
      <c r="AC577" s="26"/>
      <c r="AD577" s="26"/>
    </row>
    <row r="578" spans="1:30" ht="13.5" customHeight="1">
      <c r="A578" s="26"/>
      <c r="B578" s="26"/>
      <c r="C578" s="26"/>
      <c r="D578" s="26"/>
      <c r="E578" s="27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  <c r="AA578" s="26"/>
      <c r="AB578" s="26"/>
      <c r="AC578" s="26"/>
      <c r="AD578" s="26"/>
    </row>
    <row r="579" spans="1:30" ht="13.5" customHeight="1">
      <c r="A579" s="26"/>
      <c r="B579" s="26"/>
      <c r="C579" s="26"/>
      <c r="D579" s="26"/>
      <c r="E579" s="27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  <c r="AA579" s="26"/>
      <c r="AB579" s="26"/>
      <c r="AC579" s="26"/>
      <c r="AD579" s="26"/>
    </row>
    <row r="580" spans="1:30" ht="13.5" customHeight="1">
      <c r="A580" s="26"/>
      <c r="B580" s="26"/>
      <c r="C580" s="26"/>
      <c r="D580" s="26"/>
      <c r="E580" s="27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  <c r="AA580" s="26"/>
      <c r="AB580" s="26"/>
      <c r="AC580" s="26"/>
      <c r="AD580" s="26"/>
    </row>
    <row r="581" spans="1:30" ht="13.5" customHeight="1">
      <c r="A581" s="26"/>
      <c r="B581" s="26"/>
      <c r="C581" s="26"/>
      <c r="D581" s="26"/>
      <c r="E581" s="27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  <c r="AA581" s="26"/>
      <c r="AB581" s="26"/>
      <c r="AC581" s="26"/>
      <c r="AD581" s="26"/>
    </row>
    <row r="582" spans="1:30" ht="13.5" customHeight="1">
      <c r="A582" s="26"/>
      <c r="B582" s="26"/>
      <c r="C582" s="26"/>
      <c r="D582" s="26"/>
      <c r="E582" s="27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  <c r="AA582" s="26"/>
      <c r="AB582" s="26"/>
      <c r="AC582" s="26"/>
      <c r="AD582" s="26"/>
    </row>
    <row r="583" spans="1:30" ht="13.5" customHeight="1">
      <c r="A583" s="26"/>
      <c r="B583" s="26"/>
      <c r="C583" s="26"/>
      <c r="D583" s="26"/>
      <c r="E583" s="27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  <c r="AA583" s="26"/>
      <c r="AB583" s="26"/>
      <c r="AC583" s="26"/>
      <c r="AD583" s="26"/>
    </row>
    <row r="584" spans="1:30" ht="13.5" customHeight="1">
      <c r="A584" s="26"/>
      <c r="B584" s="26"/>
      <c r="C584" s="26"/>
      <c r="D584" s="26"/>
      <c r="E584" s="27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  <c r="AA584" s="26"/>
      <c r="AB584" s="26"/>
      <c r="AC584" s="26"/>
      <c r="AD584" s="26"/>
    </row>
    <row r="585" spans="1:30" ht="13.5" customHeight="1">
      <c r="A585" s="26"/>
      <c r="B585" s="26"/>
      <c r="C585" s="26"/>
      <c r="D585" s="26"/>
      <c r="E585" s="27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  <c r="AA585" s="26"/>
      <c r="AB585" s="26"/>
      <c r="AC585" s="26"/>
      <c r="AD585" s="26"/>
    </row>
    <row r="586" spans="1:30" ht="13.5" customHeight="1">
      <c r="A586" s="26"/>
      <c r="B586" s="26"/>
      <c r="C586" s="26"/>
      <c r="D586" s="26"/>
      <c r="E586" s="27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  <c r="AA586" s="26"/>
      <c r="AB586" s="26"/>
      <c r="AC586" s="26"/>
      <c r="AD586" s="26"/>
    </row>
    <row r="587" spans="1:30" ht="13.5" customHeight="1">
      <c r="A587" s="26"/>
      <c r="B587" s="26"/>
      <c r="C587" s="26"/>
      <c r="D587" s="26"/>
      <c r="E587" s="27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  <c r="AA587" s="26"/>
      <c r="AB587" s="26"/>
      <c r="AC587" s="26"/>
      <c r="AD587" s="26"/>
    </row>
    <row r="588" spans="1:30" ht="13.5" customHeight="1">
      <c r="A588" s="26"/>
      <c r="B588" s="26"/>
      <c r="C588" s="26"/>
      <c r="D588" s="26"/>
      <c r="E588" s="27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  <c r="AA588" s="26"/>
      <c r="AB588" s="26"/>
      <c r="AC588" s="26"/>
      <c r="AD588" s="26"/>
    </row>
    <row r="589" spans="1:30" ht="13.5" customHeight="1">
      <c r="A589" s="26"/>
      <c r="B589" s="26"/>
      <c r="C589" s="26"/>
      <c r="D589" s="26"/>
      <c r="E589" s="27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  <c r="AA589" s="26"/>
      <c r="AB589" s="26"/>
      <c r="AC589" s="26"/>
      <c r="AD589" s="26"/>
    </row>
    <row r="590" spans="1:30" ht="13.5" customHeight="1">
      <c r="A590" s="26"/>
      <c r="B590" s="26"/>
      <c r="C590" s="26"/>
      <c r="D590" s="26"/>
      <c r="E590" s="27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  <c r="AA590" s="26"/>
      <c r="AB590" s="26"/>
      <c r="AC590" s="26"/>
      <c r="AD590" s="26"/>
    </row>
    <row r="591" spans="1:30" ht="13.5" customHeight="1">
      <c r="A591" s="26"/>
      <c r="B591" s="26"/>
      <c r="C591" s="26"/>
      <c r="D591" s="26"/>
      <c r="E591" s="27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  <c r="AA591" s="26"/>
      <c r="AB591" s="26"/>
      <c r="AC591" s="26"/>
      <c r="AD591" s="26"/>
    </row>
    <row r="592" spans="1:30" ht="13.5" customHeight="1">
      <c r="A592" s="26"/>
      <c r="B592" s="26"/>
      <c r="C592" s="26"/>
      <c r="D592" s="26"/>
      <c r="E592" s="27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  <c r="AA592" s="26"/>
      <c r="AB592" s="26"/>
      <c r="AC592" s="26"/>
      <c r="AD592" s="26"/>
    </row>
    <row r="593" spans="1:30" ht="13.5" customHeight="1">
      <c r="A593" s="26"/>
      <c r="B593" s="26"/>
      <c r="C593" s="26"/>
      <c r="D593" s="26"/>
      <c r="E593" s="27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  <c r="AA593" s="26"/>
      <c r="AB593" s="26"/>
      <c r="AC593" s="26"/>
      <c r="AD593" s="26"/>
    </row>
    <row r="594" spans="1:30" ht="13.5" customHeight="1">
      <c r="A594" s="26"/>
      <c r="B594" s="26"/>
      <c r="C594" s="26"/>
      <c r="D594" s="26"/>
      <c r="E594" s="27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  <c r="AA594" s="26"/>
      <c r="AB594" s="26"/>
      <c r="AC594" s="26"/>
      <c r="AD594" s="26"/>
    </row>
    <row r="595" spans="1:30" ht="13.5" customHeight="1">
      <c r="A595" s="26"/>
      <c r="B595" s="26"/>
      <c r="C595" s="26"/>
      <c r="D595" s="26"/>
      <c r="E595" s="27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  <c r="AA595" s="26"/>
      <c r="AB595" s="26"/>
      <c r="AC595" s="26"/>
      <c r="AD595" s="26"/>
    </row>
    <row r="596" spans="1:30" ht="13.5" customHeight="1">
      <c r="A596" s="26"/>
      <c r="B596" s="26"/>
      <c r="C596" s="26"/>
      <c r="D596" s="26"/>
      <c r="E596" s="27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  <c r="AA596" s="26"/>
      <c r="AB596" s="26"/>
      <c r="AC596" s="26"/>
      <c r="AD596" s="26"/>
    </row>
    <row r="597" spans="1:30" ht="13.5" customHeight="1">
      <c r="A597" s="26"/>
      <c r="B597" s="26"/>
      <c r="C597" s="26"/>
      <c r="D597" s="26"/>
      <c r="E597" s="27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  <c r="AA597" s="26"/>
      <c r="AB597" s="26"/>
      <c r="AC597" s="26"/>
      <c r="AD597" s="26"/>
    </row>
    <row r="598" spans="1:30" ht="13.5" customHeight="1">
      <c r="A598" s="26"/>
      <c r="B598" s="26"/>
      <c r="C598" s="26"/>
      <c r="D598" s="26"/>
      <c r="E598" s="27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  <c r="AA598" s="26"/>
      <c r="AB598" s="26"/>
      <c r="AC598" s="26"/>
      <c r="AD598" s="26"/>
    </row>
    <row r="599" spans="1:30" ht="13.5" customHeight="1">
      <c r="A599" s="26"/>
      <c r="B599" s="26"/>
      <c r="C599" s="26"/>
      <c r="D599" s="26"/>
      <c r="E599" s="27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  <c r="AA599" s="26"/>
      <c r="AB599" s="26"/>
      <c r="AC599" s="26"/>
      <c r="AD599" s="26"/>
    </row>
    <row r="600" spans="1:30" ht="13.5" customHeight="1">
      <c r="A600" s="26"/>
      <c r="B600" s="26"/>
      <c r="C600" s="26"/>
      <c r="D600" s="26"/>
      <c r="E600" s="27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  <c r="AA600" s="26"/>
      <c r="AB600" s="26"/>
      <c r="AC600" s="26"/>
      <c r="AD600" s="26"/>
    </row>
    <row r="601" spans="1:30" ht="13.5" customHeight="1">
      <c r="A601" s="26"/>
      <c r="B601" s="26"/>
      <c r="C601" s="26"/>
      <c r="D601" s="26"/>
      <c r="E601" s="27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  <c r="AA601" s="26"/>
      <c r="AB601" s="26"/>
      <c r="AC601" s="26"/>
      <c r="AD601" s="26"/>
    </row>
    <row r="602" spans="1:30" ht="13.5" customHeight="1">
      <c r="A602" s="26"/>
      <c r="B602" s="26"/>
      <c r="C602" s="26"/>
      <c r="D602" s="26"/>
      <c r="E602" s="27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  <c r="AA602" s="26"/>
      <c r="AB602" s="26"/>
      <c r="AC602" s="26"/>
      <c r="AD602" s="26"/>
    </row>
    <row r="603" spans="1:30" ht="13.5" customHeight="1">
      <c r="A603" s="26"/>
      <c r="B603" s="26"/>
      <c r="C603" s="26"/>
      <c r="D603" s="26"/>
      <c r="E603" s="27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  <c r="AA603" s="26"/>
      <c r="AB603" s="26"/>
      <c r="AC603" s="26"/>
      <c r="AD603" s="26"/>
    </row>
    <row r="604" spans="1:30" ht="13.5" customHeight="1">
      <c r="A604" s="26"/>
      <c r="B604" s="26"/>
      <c r="C604" s="26"/>
      <c r="D604" s="26"/>
      <c r="E604" s="27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  <c r="AA604" s="26"/>
      <c r="AB604" s="26"/>
      <c r="AC604" s="26"/>
      <c r="AD604" s="26"/>
    </row>
    <row r="605" spans="1:30" ht="13.5" customHeight="1">
      <c r="A605" s="26"/>
      <c r="B605" s="26"/>
      <c r="C605" s="26"/>
      <c r="D605" s="26"/>
      <c r="E605" s="27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  <c r="AA605" s="26"/>
      <c r="AB605" s="26"/>
      <c r="AC605" s="26"/>
      <c r="AD605" s="26"/>
    </row>
    <row r="606" spans="1:30" ht="13.5" customHeight="1">
      <c r="A606" s="26"/>
      <c r="B606" s="26"/>
      <c r="C606" s="26"/>
      <c r="D606" s="26"/>
      <c r="E606" s="27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  <c r="AA606" s="26"/>
      <c r="AB606" s="26"/>
      <c r="AC606" s="26"/>
      <c r="AD606" s="26"/>
    </row>
    <row r="607" spans="1:30" ht="13.5" customHeight="1">
      <c r="A607" s="26"/>
      <c r="B607" s="26"/>
      <c r="C607" s="26"/>
      <c r="D607" s="26"/>
      <c r="E607" s="27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  <c r="AA607" s="26"/>
      <c r="AB607" s="26"/>
      <c r="AC607" s="26"/>
      <c r="AD607" s="26"/>
    </row>
    <row r="608" spans="1:30" ht="13.5" customHeight="1">
      <c r="A608" s="26"/>
      <c r="B608" s="26"/>
      <c r="C608" s="26"/>
      <c r="D608" s="26"/>
      <c r="E608" s="27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  <c r="AA608" s="26"/>
      <c r="AB608" s="26"/>
      <c r="AC608" s="26"/>
      <c r="AD608" s="26"/>
    </row>
    <row r="609" spans="1:30" ht="13.5" customHeight="1">
      <c r="A609" s="26"/>
      <c r="B609" s="26"/>
      <c r="C609" s="26"/>
      <c r="D609" s="26"/>
      <c r="E609" s="27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  <c r="AA609" s="26"/>
      <c r="AB609" s="26"/>
      <c r="AC609" s="26"/>
      <c r="AD609" s="26"/>
    </row>
    <row r="610" spans="1:30" ht="13.5" customHeight="1">
      <c r="A610" s="26"/>
      <c r="B610" s="26"/>
      <c r="C610" s="26"/>
      <c r="D610" s="26"/>
      <c r="E610" s="27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  <c r="AA610" s="26"/>
      <c r="AB610" s="26"/>
      <c r="AC610" s="26"/>
      <c r="AD610" s="26"/>
    </row>
    <row r="611" spans="1:30" ht="13.5" customHeight="1">
      <c r="A611" s="26"/>
      <c r="B611" s="26"/>
      <c r="C611" s="26"/>
      <c r="D611" s="26"/>
      <c r="E611" s="27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  <c r="AA611" s="26"/>
      <c r="AB611" s="26"/>
      <c r="AC611" s="26"/>
      <c r="AD611" s="26"/>
    </row>
    <row r="612" spans="1:30" ht="13.5" customHeight="1">
      <c r="A612" s="26"/>
      <c r="B612" s="26"/>
      <c r="C612" s="26"/>
      <c r="D612" s="26"/>
      <c r="E612" s="27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  <c r="AA612" s="26"/>
      <c r="AB612" s="26"/>
      <c r="AC612" s="26"/>
      <c r="AD612" s="26"/>
    </row>
    <row r="613" spans="1:30" ht="13.5" customHeight="1">
      <c r="A613" s="26"/>
      <c r="B613" s="26"/>
      <c r="C613" s="26"/>
      <c r="D613" s="26"/>
      <c r="E613" s="27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  <c r="AA613" s="26"/>
      <c r="AB613" s="26"/>
      <c r="AC613" s="26"/>
      <c r="AD613" s="26"/>
    </row>
    <row r="614" spans="1:30" ht="13.5" customHeight="1">
      <c r="A614" s="26"/>
      <c r="B614" s="26"/>
      <c r="C614" s="26"/>
      <c r="D614" s="26"/>
      <c r="E614" s="27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  <c r="AA614" s="26"/>
      <c r="AB614" s="26"/>
      <c r="AC614" s="26"/>
      <c r="AD614" s="26"/>
    </row>
    <row r="615" spans="1:30" ht="13.5" customHeight="1">
      <c r="A615" s="26"/>
      <c r="B615" s="26"/>
      <c r="C615" s="26"/>
      <c r="D615" s="26"/>
      <c r="E615" s="27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  <c r="AA615" s="26"/>
      <c r="AB615" s="26"/>
      <c r="AC615" s="26"/>
      <c r="AD615" s="26"/>
    </row>
    <row r="616" spans="1:30" ht="13.5" customHeight="1">
      <c r="A616" s="26"/>
      <c r="B616" s="26"/>
      <c r="C616" s="26"/>
      <c r="D616" s="26"/>
      <c r="E616" s="27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  <c r="AA616" s="26"/>
      <c r="AB616" s="26"/>
      <c r="AC616" s="26"/>
      <c r="AD616" s="26"/>
    </row>
    <row r="617" spans="1:30" ht="13.5" customHeight="1">
      <c r="A617" s="26"/>
      <c r="B617" s="26"/>
      <c r="C617" s="26"/>
      <c r="D617" s="26"/>
      <c r="E617" s="27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  <c r="AA617" s="26"/>
      <c r="AB617" s="26"/>
      <c r="AC617" s="26"/>
      <c r="AD617" s="26"/>
    </row>
    <row r="618" spans="1:30" ht="13.5" customHeight="1">
      <c r="A618" s="26"/>
      <c r="B618" s="26"/>
      <c r="C618" s="26"/>
      <c r="D618" s="26"/>
      <c r="E618" s="27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  <c r="AA618" s="26"/>
      <c r="AB618" s="26"/>
      <c r="AC618" s="26"/>
      <c r="AD618" s="26"/>
    </row>
    <row r="619" spans="1:30" ht="13.5" customHeight="1">
      <c r="A619" s="26"/>
      <c r="B619" s="26"/>
      <c r="C619" s="26"/>
      <c r="D619" s="26"/>
      <c r="E619" s="27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  <c r="AA619" s="26"/>
      <c r="AB619" s="26"/>
      <c r="AC619" s="26"/>
      <c r="AD619" s="26"/>
    </row>
    <row r="620" spans="1:30" ht="13.5" customHeight="1">
      <c r="A620" s="26"/>
      <c r="B620" s="26"/>
      <c r="C620" s="26"/>
      <c r="D620" s="26"/>
      <c r="E620" s="27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  <c r="AA620" s="26"/>
      <c r="AB620" s="26"/>
      <c r="AC620" s="26"/>
      <c r="AD620" s="26"/>
    </row>
    <row r="621" spans="1:30" ht="13.5" customHeight="1">
      <c r="A621" s="26"/>
      <c r="B621" s="26"/>
      <c r="C621" s="26"/>
      <c r="D621" s="26"/>
      <c r="E621" s="27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  <c r="AA621" s="26"/>
      <c r="AB621" s="26"/>
      <c r="AC621" s="26"/>
      <c r="AD621" s="26"/>
    </row>
    <row r="622" spans="1:30" ht="13.5" customHeight="1">
      <c r="A622" s="26"/>
      <c r="B622" s="26"/>
      <c r="C622" s="26"/>
      <c r="D622" s="26"/>
      <c r="E622" s="27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  <c r="AA622" s="26"/>
      <c r="AB622" s="26"/>
      <c r="AC622" s="26"/>
      <c r="AD622" s="26"/>
    </row>
    <row r="623" spans="1:30" ht="13.5" customHeight="1">
      <c r="A623" s="26"/>
      <c r="B623" s="26"/>
      <c r="C623" s="26"/>
      <c r="D623" s="26"/>
      <c r="E623" s="27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  <c r="AA623" s="26"/>
      <c r="AB623" s="26"/>
      <c r="AC623" s="26"/>
      <c r="AD623" s="26"/>
    </row>
    <row r="624" spans="1:30" ht="13.5" customHeight="1">
      <c r="A624" s="26"/>
      <c r="B624" s="26"/>
      <c r="C624" s="26"/>
      <c r="D624" s="26"/>
      <c r="E624" s="27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  <c r="AA624" s="26"/>
      <c r="AB624" s="26"/>
      <c r="AC624" s="26"/>
      <c r="AD624" s="26"/>
    </row>
    <row r="625" spans="1:30" ht="13.5" customHeight="1">
      <c r="A625" s="26"/>
      <c r="B625" s="26"/>
      <c r="C625" s="26"/>
      <c r="D625" s="26"/>
      <c r="E625" s="27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  <c r="AA625" s="26"/>
      <c r="AB625" s="26"/>
      <c r="AC625" s="26"/>
      <c r="AD625" s="26"/>
    </row>
    <row r="626" spans="1:30" ht="13.5" customHeight="1">
      <c r="A626" s="26"/>
      <c r="B626" s="26"/>
      <c r="C626" s="26"/>
      <c r="D626" s="26"/>
      <c r="E626" s="27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  <c r="AA626" s="26"/>
      <c r="AB626" s="26"/>
      <c r="AC626" s="26"/>
      <c r="AD626" s="26"/>
    </row>
    <row r="627" spans="1:30" ht="13.5" customHeight="1">
      <c r="A627" s="26"/>
      <c r="B627" s="26"/>
      <c r="C627" s="26"/>
      <c r="D627" s="26"/>
      <c r="E627" s="27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  <c r="AA627" s="26"/>
      <c r="AB627" s="26"/>
      <c r="AC627" s="26"/>
      <c r="AD627" s="26"/>
    </row>
    <row r="628" spans="1:30" ht="13.5" customHeight="1">
      <c r="A628" s="26"/>
      <c r="B628" s="26"/>
      <c r="C628" s="26"/>
      <c r="D628" s="26"/>
      <c r="E628" s="27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  <c r="AA628" s="26"/>
      <c r="AB628" s="26"/>
      <c r="AC628" s="26"/>
      <c r="AD628" s="26"/>
    </row>
    <row r="629" spans="1:30" ht="13.5" customHeight="1">
      <c r="A629" s="26"/>
      <c r="B629" s="26"/>
      <c r="C629" s="26"/>
      <c r="D629" s="26"/>
      <c r="E629" s="27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  <c r="AA629" s="26"/>
      <c r="AB629" s="26"/>
      <c r="AC629" s="26"/>
      <c r="AD629" s="26"/>
    </row>
    <row r="630" spans="1:30" ht="13.5" customHeight="1">
      <c r="A630" s="26"/>
      <c r="B630" s="26"/>
      <c r="C630" s="26"/>
      <c r="D630" s="26"/>
      <c r="E630" s="27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  <c r="AA630" s="26"/>
      <c r="AB630" s="26"/>
      <c r="AC630" s="26"/>
      <c r="AD630" s="26"/>
    </row>
    <row r="631" spans="1:30" ht="13.5" customHeight="1">
      <c r="A631" s="26"/>
      <c r="B631" s="26"/>
      <c r="C631" s="26"/>
      <c r="D631" s="26"/>
      <c r="E631" s="27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  <c r="AA631" s="26"/>
      <c r="AB631" s="26"/>
      <c r="AC631" s="26"/>
      <c r="AD631" s="26"/>
    </row>
    <row r="632" spans="1:30" ht="13.5" customHeight="1">
      <c r="A632" s="26"/>
      <c r="B632" s="26"/>
      <c r="C632" s="26"/>
      <c r="D632" s="26"/>
      <c r="E632" s="27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  <c r="AA632" s="26"/>
      <c r="AB632" s="26"/>
      <c r="AC632" s="26"/>
      <c r="AD632" s="26"/>
    </row>
    <row r="633" spans="1:30" ht="13.5" customHeight="1">
      <c r="A633" s="26"/>
      <c r="B633" s="26"/>
      <c r="C633" s="26"/>
      <c r="D633" s="26"/>
      <c r="E633" s="27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  <c r="AA633" s="26"/>
      <c r="AB633" s="26"/>
      <c r="AC633" s="26"/>
      <c r="AD633" s="26"/>
    </row>
    <row r="634" spans="1:30" ht="13.5" customHeight="1">
      <c r="A634" s="26"/>
      <c r="B634" s="26"/>
      <c r="C634" s="26"/>
      <c r="D634" s="26"/>
      <c r="E634" s="27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  <c r="AA634" s="26"/>
      <c r="AB634" s="26"/>
      <c r="AC634" s="26"/>
      <c r="AD634" s="26"/>
    </row>
    <row r="635" spans="1:30" ht="13.5" customHeight="1">
      <c r="A635" s="26"/>
      <c r="B635" s="26"/>
      <c r="C635" s="26"/>
      <c r="D635" s="26"/>
      <c r="E635" s="27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  <c r="AA635" s="26"/>
      <c r="AB635" s="26"/>
      <c r="AC635" s="26"/>
      <c r="AD635" s="26"/>
    </row>
    <row r="636" spans="1:30" ht="13.5" customHeight="1">
      <c r="A636" s="26"/>
      <c r="B636" s="26"/>
      <c r="C636" s="26"/>
      <c r="D636" s="26"/>
      <c r="E636" s="27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  <c r="AA636" s="26"/>
      <c r="AB636" s="26"/>
      <c r="AC636" s="26"/>
      <c r="AD636" s="26"/>
    </row>
    <row r="637" spans="1:30" ht="13.5" customHeight="1">
      <c r="A637" s="26"/>
      <c r="B637" s="26"/>
      <c r="C637" s="26"/>
      <c r="D637" s="26"/>
      <c r="E637" s="27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  <c r="AA637" s="26"/>
      <c r="AB637" s="26"/>
      <c r="AC637" s="26"/>
      <c r="AD637" s="26"/>
    </row>
    <row r="638" spans="1:30" ht="13.5" customHeight="1">
      <c r="A638" s="26"/>
      <c r="B638" s="26"/>
      <c r="C638" s="26"/>
      <c r="D638" s="26"/>
      <c r="E638" s="27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  <c r="AA638" s="26"/>
      <c r="AB638" s="26"/>
      <c r="AC638" s="26"/>
      <c r="AD638" s="26"/>
    </row>
    <row r="639" spans="1:30" ht="13.5" customHeight="1">
      <c r="A639" s="26"/>
      <c r="B639" s="26"/>
      <c r="C639" s="26"/>
      <c r="D639" s="26"/>
      <c r="E639" s="27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  <c r="AA639" s="26"/>
      <c r="AB639" s="26"/>
      <c r="AC639" s="26"/>
      <c r="AD639" s="26"/>
    </row>
    <row r="640" spans="1:30" ht="13.5" customHeight="1">
      <c r="A640" s="26"/>
      <c r="B640" s="26"/>
      <c r="C640" s="26"/>
      <c r="D640" s="26"/>
      <c r="E640" s="27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  <c r="AA640" s="26"/>
      <c r="AB640" s="26"/>
      <c r="AC640" s="26"/>
      <c r="AD640" s="26"/>
    </row>
    <row r="641" spans="1:30" ht="13.5" customHeight="1">
      <c r="A641" s="26"/>
      <c r="B641" s="26"/>
      <c r="C641" s="26"/>
      <c r="D641" s="26"/>
      <c r="E641" s="27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  <c r="AA641" s="26"/>
      <c r="AB641" s="26"/>
      <c r="AC641" s="26"/>
      <c r="AD641" s="26"/>
    </row>
    <row r="642" spans="1:30" ht="13.5" customHeight="1">
      <c r="A642" s="26"/>
      <c r="B642" s="26"/>
      <c r="C642" s="26"/>
      <c r="D642" s="26"/>
      <c r="E642" s="27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  <c r="AA642" s="26"/>
      <c r="AB642" s="26"/>
      <c r="AC642" s="26"/>
      <c r="AD642" s="26"/>
    </row>
    <row r="643" spans="1:30" ht="13.5" customHeight="1">
      <c r="A643" s="26"/>
      <c r="B643" s="26"/>
      <c r="C643" s="26"/>
      <c r="D643" s="26"/>
      <c r="E643" s="27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  <c r="AA643" s="26"/>
      <c r="AB643" s="26"/>
      <c r="AC643" s="26"/>
      <c r="AD643" s="26"/>
    </row>
    <row r="644" spans="1:30" ht="13.5" customHeight="1">
      <c r="A644" s="26"/>
      <c r="B644" s="26"/>
      <c r="C644" s="26"/>
      <c r="D644" s="26"/>
      <c r="E644" s="27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  <c r="AA644" s="26"/>
      <c r="AB644" s="26"/>
      <c r="AC644" s="26"/>
      <c r="AD644" s="26"/>
    </row>
    <row r="645" spans="1:30" ht="13.5" customHeight="1">
      <c r="A645" s="26"/>
      <c r="B645" s="26"/>
      <c r="C645" s="26"/>
      <c r="D645" s="26"/>
      <c r="E645" s="27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  <c r="AA645" s="26"/>
      <c r="AB645" s="26"/>
      <c r="AC645" s="26"/>
      <c r="AD645" s="26"/>
    </row>
    <row r="646" spans="1:30" ht="13.5" customHeight="1">
      <c r="A646" s="26"/>
      <c r="B646" s="26"/>
      <c r="C646" s="26"/>
      <c r="D646" s="26"/>
      <c r="E646" s="27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  <c r="AA646" s="26"/>
      <c r="AB646" s="26"/>
      <c r="AC646" s="26"/>
      <c r="AD646" s="26"/>
    </row>
    <row r="647" spans="1:30" ht="13.5" customHeight="1">
      <c r="A647" s="26"/>
      <c r="B647" s="26"/>
      <c r="C647" s="26"/>
      <c r="D647" s="26"/>
      <c r="E647" s="27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  <c r="AA647" s="26"/>
      <c r="AB647" s="26"/>
      <c r="AC647" s="26"/>
      <c r="AD647" s="26"/>
    </row>
    <row r="648" spans="1:30" ht="13.5" customHeight="1">
      <c r="A648" s="26"/>
      <c r="B648" s="26"/>
      <c r="C648" s="26"/>
      <c r="D648" s="26"/>
      <c r="E648" s="27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  <c r="AA648" s="26"/>
      <c r="AB648" s="26"/>
      <c r="AC648" s="26"/>
      <c r="AD648" s="26"/>
    </row>
    <row r="649" spans="1:30" ht="13.5" customHeight="1">
      <c r="A649" s="26"/>
      <c r="B649" s="26"/>
      <c r="C649" s="26"/>
      <c r="D649" s="26"/>
      <c r="E649" s="27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  <c r="AA649" s="26"/>
      <c r="AB649" s="26"/>
      <c r="AC649" s="26"/>
      <c r="AD649" s="26"/>
    </row>
    <row r="650" spans="1:30" ht="13.5" customHeight="1">
      <c r="A650" s="26"/>
      <c r="B650" s="26"/>
      <c r="C650" s="26"/>
      <c r="D650" s="26"/>
      <c r="E650" s="27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  <c r="AA650" s="26"/>
      <c r="AB650" s="26"/>
      <c r="AC650" s="26"/>
      <c r="AD650" s="26"/>
    </row>
    <row r="651" spans="1:30" ht="13.5" customHeight="1">
      <c r="A651" s="26"/>
      <c r="B651" s="26"/>
      <c r="C651" s="26"/>
      <c r="D651" s="26"/>
      <c r="E651" s="27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  <c r="AA651" s="26"/>
      <c r="AB651" s="26"/>
      <c r="AC651" s="26"/>
      <c r="AD651" s="26"/>
    </row>
    <row r="652" spans="1:30" ht="13.5" customHeight="1">
      <c r="A652" s="26"/>
      <c r="B652" s="26"/>
      <c r="C652" s="26"/>
      <c r="D652" s="26"/>
      <c r="E652" s="27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  <c r="AA652" s="26"/>
      <c r="AB652" s="26"/>
      <c r="AC652" s="26"/>
      <c r="AD652" s="26"/>
    </row>
    <row r="653" spans="1:30" ht="13.5" customHeight="1">
      <c r="A653" s="26"/>
      <c r="B653" s="26"/>
      <c r="C653" s="26"/>
      <c r="D653" s="26"/>
      <c r="E653" s="27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  <c r="AA653" s="26"/>
      <c r="AB653" s="26"/>
      <c r="AC653" s="26"/>
      <c r="AD653" s="26"/>
    </row>
    <row r="654" spans="1:30" ht="13.5" customHeight="1">
      <c r="A654" s="26"/>
      <c r="B654" s="26"/>
      <c r="C654" s="26"/>
      <c r="D654" s="26"/>
      <c r="E654" s="27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  <c r="AA654" s="26"/>
      <c r="AB654" s="26"/>
      <c r="AC654" s="26"/>
      <c r="AD654" s="26"/>
    </row>
    <row r="655" spans="1:30" ht="13.5" customHeight="1">
      <c r="A655" s="26"/>
      <c r="B655" s="26"/>
      <c r="C655" s="26"/>
      <c r="D655" s="26"/>
      <c r="E655" s="27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  <c r="AA655" s="26"/>
      <c r="AB655" s="26"/>
      <c r="AC655" s="26"/>
      <c r="AD655" s="26"/>
    </row>
    <row r="656" spans="1:30" ht="13.5" customHeight="1">
      <c r="A656" s="26"/>
      <c r="B656" s="26"/>
      <c r="C656" s="26"/>
      <c r="D656" s="26"/>
      <c r="E656" s="27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  <c r="AA656" s="26"/>
      <c r="AB656" s="26"/>
      <c r="AC656" s="26"/>
      <c r="AD656" s="26"/>
    </row>
    <row r="657" spans="1:30" ht="13.5" customHeight="1">
      <c r="A657" s="26"/>
      <c r="B657" s="26"/>
      <c r="C657" s="26"/>
      <c r="D657" s="26"/>
      <c r="E657" s="27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  <c r="AA657" s="26"/>
      <c r="AB657" s="26"/>
      <c r="AC657" s="26"/>
      <c r="AD657" s="26"/>
    </row>
    <row r="658" spans="1:30" ht="13.5" customHeight="1">
      <c r="A658" s="26"/>
      <c r="B658" s="26"/>
      <c r="C658" s="26"/>
      <c r="D658" s="26"/>
      <c r="E658" s="27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  <c r="AA658" s="26"/>
      <c r="AB658" s="26"/>
      <c r="AC658" s="26"/>
      <c r="AD658" s="26"/>
    </row>
    <row r="659" spans="1:30" ht="13.5" customHeight="1">
      <c r="A659" s="26"/>
      <c r="B659" s="26"/>
      <c r="C659" s="26"/>
      <c r="D659" s="26"/>
      <c r="E659" s="27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  <c r="AA659" s="26"/>
      <c r="AB659" s="26"/>
      <c r="AC659" s="26"/>
      <c r="AD659" s="26"/>
    </row>
    <row r="660" spans="1:30" ht="13.5" customHeight="1">
      <c r="A660" s="26"/>
      <c r="B660" s="26"/>
      <c r="C660" s="26"/>
      <c r="D660" s="26"/>
      <c r="E660" s="27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  <c r="AA660" s="26"/>
      <c r="AB660" s="26"/>
      <c r="AC660" s="26"/>
      <c r="AD660" s="26"/>
    </row>
    <row r="661" spans="1:30" ht="13.5" customHeight="1">
      <c r="A661" s="26"/>
      <c r="B661" s="26"/>
      <c r="C661" s="26"/>
      <c r="D661" s="26"/>
      <c r="E661" s="27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  <c r="AA661" s="26"/>
      <c r="AB661" s="26"/>
      <c r="AC661" s="26"/>
      <c r="AD661" s="26"/>
    </row>
    <row r="662" spans="1:30" ht="13.5" customHeight="1">
      <c r="A662" s="26"/>
      <c r="B662" s="26"/>
      <c r="C662" s="26"/>
      <c r="D662" s="26"/>
      <c r="E662" s="27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  <c r="AA662" s="26"/>
      <c r="AB662" s="26"/>
      <c r="AC662" s="26"/>
      <c r="AD662" s="26"/>
    </row>
    <row r="663" spans="1:30" ht="13.5" customHeight="1">
      <c r="A663" s="26"/>
      <c r="B663" s="26"/>
      <c r="C663" s="26"/>
      <c r="D663" s="26"/>
      <c r="E663" s="27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  <c r="AA663" s="26"/>
      <c r="AB663" s="26"/>
      <c r="AC663" s="26"/>
      <c r="AD663" s="26"/>
    </row>
    <row r="664" spans="1:30" ht="13.5" customHeight="1">
      <c r="A664" s="26"/>
      <c r="B664" s="26"/>
      <c r="C664" s="26"/>
      <c r="D664" s="26"/>
      <c r="E664" s="27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  <c r="AA664" s="26"/>
      <c r="AB664" s="26"/>
      <c r="AC664" s="26"/>
      <c r="AD664" s="26"/>
    </row>
    <row r="665" spans="1:30" ht="13.5" customHeight="1">
      <c r="A665" s="26"/>
      <c r="B665" s="26"/>
      <c r="C665" s="26"/>
      <c r="D665" s="26"/>
      <c r="E665" s="27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  <c r="AA665" s="26"/>
      <c r="AB665" s="26"/>
      <c r="AC665" s="26"/>
      <c r="AD665" s="26"/>
    </row>
    <row r="666" spans="1:30" ht="13.5" customHeight="1">
      <c r="A666" s="26"/>
      <c r="B666" s="26"/>
      <c r="C666" s="26"/>
      <c r="D666" s="26"/>
      <c r="E666" s="27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  <c r="AA666" s="26"/>
      <c r="AB666" s="26"/>
      <c r="AC666" s="26"/>
      <c r="AD666" s="26"/>
    </row>
    <row r="667" spans="1:30" ht="13.5" customHeight="1">
      <c r="A667" s="26"/>
      <c r="B667" s="26"/>
      <c r="C667" s="26"/>
      <c r="D667" s="26"/>
      <c r="E667" s="27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  <c r="AA667" s="26"/>
      <c r="AB667" s="26"/>
      <c r="AC667" s="26"/>
      <c r="AD667" s="26"/>
    </row>
    <row r="668" spans="1:30" ht="13.5" customHeight="1">
      <c r="A668" s="26"/>
      <c r="B668" s="26"/>
      <c r="C668" s="26"/>
      <c r="D668" s="26"/>
      <c r="E668" s="27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  <c r="AA668" s="26"/>
      <c r="AB668" s="26"/>
      <c r="AC668" s="26"/>
      <c r="AD668" s="26"/>
    </row>
    <row r="669" spans="1:30" ht="13.5" customHeight="1">
      <c r="A669" s="26"/>
      <c r="B669" s="26"/>
      <c r="C669" s="26"/>
      <c r="D669" s="26"/>
      <c r="E669" s="27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  <c r="AA669" s="26"/>
      <c r="AB669" s="26"/>
      <c r="AC669" s="26"/>
      <c r="AD669" s="26"/>
    </row>
    <row r="670" spans="1:30" ht="13.5" customHeight="1">
      <c r="A670" s="26"/>
      <c r="B670" s="26"/>
      <c r="C670" s="26"/>
      <c r="D670" s="26"/>
      <c r="E670" s="27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  <c r="AA670" s="26"/>
      <c r="AB670" s="26"/>
      <c r="AC670" s="26"/>
      <c r="AD670" s="26"/>
    </row>
    <row r="671" spans="1:30" ht="13.5" customHeight="1">
      <c r="A671" s="26"/>
      <c r="B671" s="26"/>
      <c r="C671" s="26"/>
      <c r="D671" s="26"/>
      <c r="E671" s="27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  <c r="AA671" s="26"/>
      <c r="AB671" s="26"/>
      <c r="AC671" s="26"/>
      <c r="AD671" s="26"/>
    </row>
    <row r="672" spans="1:30" ht="13.5" customHeight="1">
      <c r="A672" s="26"/>
      <c r="B672" s="26"/>
      <c r="C672" s="26"/>
      <c r="D672" s="26"/>
      <c r="E672" s="27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  <c r="AA672" s="26"/>
      <c r="AB672" s="26"/>
      <c r="AC672" s="26"/>
      <c r="AD672" s="26"/>
    </row>
    <row r="673" spans="1:30" ht="13.5" customHeight="1">
      <c r="A673" s="26"/>
      <c r="B673" s="26"/>
      <c r="C673" s="26"/>
      <c r="D673" s="26"/>
      <c r="E673" s="27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  <c r="AA673" s="26"/>
      <c r="AB673" s="26"/>
      <c r="AC673" s="26"/>
      <c r="AD673" s="26"/>
    </row>
    <row r="674" spans="1:30" ht="13.5" customHeight="1">
      <c r="A674" s="26"/>
      <c r="B674" s="26"/>
      <c r="C674" s="26"/>
      <c r="D674" s="26"/>
      <c r="E674" s="27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  <c r="AA674" s="26"/>
      <c r="AB674" s="26"/>
      <c r="AC674" s="26"/>
      <c r="AD674" s="26"/>
    </row>
    <row r="675" spans="1:30" ht="13.5" customHeight="1">
      <c r="A675" s="26"/>
      <c r="B675" s="26"/>
      <c r="C675" s="26"/>
      <c r="D675" s="26"/>
      <c r="E675" s="27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  <c r="AA675" s="26"/>
      <c r="AB675" s="26"/>
      <c r="AC675" s="26"/>
      <c r="AD675" s="26"/>
    </row>
    <row r="676" spans="1:30" ht="13.5" customHeight="1">
      <c r="A676" s="26"/>
      <c r="B676" s="26"/>
      <c r="C676" s="26"/>
      <c r="D676" s="26"/>
      <c r="E676" s="27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  <c r="AA676" s="26"/>
      <c r="AB676" s="26"/>
      <c r="AC676" s="26"/>
      <c r="AD676" s="26"/>
    </row>
    <row r="677" spans="1:30" ht="13.5" customHeight="1">
      <c r="A677" s="26"/>
      <c r="B677" s="26"/>
      <c r="C677" s="26"/>
      <c r="D677" s="26"/>
      <c r="E677" s="27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  <c r="AA677" s="26"/>
      <c r="AB677" s="26"/>
      <c r="AC677" s="26"/>
      <c r="AD677" s="26"/>
    </row>
    <row r="678" spans="1:30" ht="13.5" customHeight="1">
      <c r="A678" s="26"/>
      <c r="B678" s="26"/>
      <c r="C678" s="26"/>
      <c r="D678" s="26"/>
      <c r="E678" s="27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  <c r="AA678" s="26"/>
      <c r="AB678" s="26"/>
      <c r="AC678" s="26"/>
      <c r="AD678" s="26"/>
    </row>
    <row r="679" spans="1:30" ht="13.5" customHeight="1">
      <c r="A679" s="26"/>
      <c r="B679" s="26"/>
      <c r="C679" s="26"/>
      <c r="D679" s="26"/>
      <c r="E679" s="27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  <c r="AA679" s="26"/>
      <c r="AB679" s="26"/>
      <c r="AC679" s="26"/>
      <c r="AD679" s="26"/>
    </row>
    <row r="680" spans="1:30" ht="13.5" customHeight="1">
      <c r="A680" s="26"/>
      <c r="B680" s="26"/>
      <c r="C680" s="26"/>
      <c r="D680" s="26"/>
      <c r="E680" s="27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  <c r="AA680" s="26"/>
      <c r="AB680" s="26"/>
      <c r="AC680" s="26"/>
      <c r="AD680" s="26"/>
    </row>
    <row r="681" spans="1:30" ht="13.5" customHeight="1">
      <c r="A681" s="26"/>
      <c r="B681" s="26"/>
      <c r="C681" s="26"/>
      <c r="D681" s="26"/>
      <c r="E681" s="27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  <c r="AA681" s="26"/>
      <c r="AB681" s="26"/>
      <c r="AC681" s="26"/>
      <c r="AD681" s="26"/>
    </row>
    <row r="682" spans="1:30" ht="13.5" customHeight="1">
      <c r="A682" s="26"/>
      <c r="B682" s="26"/>
      <c r="C682" s="26"/>
      <c r="D682" s="26"/>
      <c r="E682" s="27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  <c r="AA682" s="26"/>
      <c r="AB682" s="26"/>
      <c r="AC682" s="26"/>
      <c r="AD682" s="26"/>
    </row>
    <row r="683" spans="1:30" ht="13.5" customHeight="1">
      <c r="A683" s="26"/>
      <c r="B683" s="26"/>
      <c r="C683" s="26"/>
      <c r="D683" s="26"/>
      <c r="E683" s="27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  <c r="AA683" s="26"/>
      <c r="AB683" s="26"/>
      <c r="AC683" s="26"/>
      <c r="AD683" s="26"/>
    </row>
    <row r="684" spans="1:30" ht="13.5" customHeight="1">
      <c r="A684" s="26"/>
      <c r="B684" s="26"/>
      <c r="C684" s="26"/>
      <c r="D684" s="26"/>
      <c r="E684" s="27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  <c r="AA684" s="26"/>
      <c r="AB684" s="26"/>
      <c r="AC684" s="26"/>
      <c r="AD684" s="26"/>
    </row>
    <row r="685" spans="1:30" ht="13.5" customHeight="1">
      <c r="A685" s="26"/>
      <c r="B685" s="26"/>
      <c r="C685" s="26"/>
      <c r="D685" s="26"/>
      <c r="E685" s="27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  <c r="AA685" s="26"/>
      <c r="AB685" s="26"/>
      <c r="AC685" s="26"/>
      <c r="AD685" s="26"/>
    </row>
    <row r="686" spans="1:30" ht="13.5" customHeight="1">
      <c r="A686" s="26"/>
      <c r="B686" s="26"/>
      <c r="C686" s="26"/>
      <c r="D686" s="26"/>
      <c r="E686" s="27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  <c r="AA686" s="26"/>
      <c r="AB686" s="26"/>
      <c r="AC686" s="26"/>
      <c r="AD686" s="26"/>
    </row>
    <row r="687" spans="1:30" ht="13.5" customHeight="1">
      <c r="A687" s="26"/>
      <c r="B687" s="26"/>
      <c r="C687" s="26"/>
      <c r="D687" s="26"/>
      <c r="E687" s="27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  <c r="AA687" s="26"/>
      <c r="AB687" s="26"/>
      <c r="AC687" s="26"/>
      <c r="AD687" s="26"/>
    </row>
    <row r="688" spans="1:30" ht="13.5" customHeight="1">
      <c r="A688" s="26"/>
      <c r="B688" s="26"/>
      <c r="C688" s="26"/>
      <c r="D688" s="26"/>
      <c r="E688" s="27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  <c r="AA688" s="26"/>
      <c r="AB688" s="26"/>
      <c r="AC688" s="26"/>
      <c r="AD688" s="26"/>
    </row>
    <row r="689" spans="1:30" ht="13.5" customHeight="1">
      <c r="A689" s="26"/>
      <c r="B689" s="26"/>
      <c r="C689" s="26"/>
      <c r="D689" s="26"/>
      <c r="E689" s="27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  <c r="AA689" s="26"/>
      <c r="AB689" s="26"/>
      <c r="AC689" s="26"/>
      <c r="AD689" s="26"/>
    </row>
    <row r="690" spans="1:30" ht="13.5" customHeight="1">
      <c r="A690" s="26"/>
      <c r="B690" s="26"/>
      <c r="C690" s="26"/>
      <c r="D690" s="26"/>
      <c r="E690" s="27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  <c r="AA690" s="26"/>
      <c r="AB690" s="26"/>
      <c r="AC690" s="26"/>
      <c r="AD690" s="26"/>
    </row>
    <row r="691" spans="1:30" ht="13.5" customHeight="1">
      <c r="A691" s="26"/>
      <c r="B691" s="26"/>
      <c r="C691" s="26"/>
      <c r="D691" s="26"/>
      <c r="E691" s="27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  <c r="AA691" s="26"/>
      <c r="AB691" s="26"/>
      <c r="AC691" s="26"/>
      <c r="AD691" s="26"/>
    </row>
    <row r="692" spans="1:30" ht="13.5" customHeight="1">
      <c r="A692" s="26"/>
      <c r="B692" s="26"/>
      <c r="C692" s="26"/>
      <c r="D692" s="26"/>
      <c r="E692" s="27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  <c r="AA692" s="26"/>
      <c r="AB692" s="26"/>
      <c r="AC692" s="26"/>
      <c r="AD692" s="26"/>
    </row>
    <row r="693" spans="1:30" ht="13.5" customHeight="1">
      <c r="A693" s="26"/>
      <c r="B693" s="26"/>
      <c r="C693" s="26"/>
      <c r="D693" s="26"/>
      <c r="E693" s="27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  <c r="AA693" s="26"/>
      <c r="AB693" s="26"/>
      <c r="AC693" s="26"/>
      <c r="AD693" s="26"/>
    </row>
    <row r="694" spans="1:30" ht="13.5" customHeight="1">
      <c r="A694" s="26"/>
      <c r="B694" s="26"/>
      <c r="C694" s="26"/>
      <c r="D694" s="26"/>
      <c r="E694" s="27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  <c r="AA694" s="26"/>
      <c r="AB694" s="26"/>
      <c r="AC694" s="26"/>
      <c r="AD694" s="26"/>
    </row>
    <row r="695" spans="1:30" ht="13.5" customHeight="1">
      <c r="A695" s="26"/>
      <c r="B695" s="26"/>
      <c r="C695" s="26"/>
      <c r="D695" s="26"/>
      <c r="E695" s="27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  <c r="AA695" s="26"/>
      <c r="AB695" s="26"/>
      <c r="AC695" s="26"/>
      <c r="AD695" s="26"/>
    </row>
    <row r="696" spans="1:30" ht="13.5" customHeight="1">
      <c r="A696" s="26"/>
      <c r="B696" s="26"/>
      <c r="C696" s="26"/>
      <c r="D696" s="26"/>
      <c r="E696" s="27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  <c r="AA696" s="26"/>
      <c r="AB696" s="26"/>
      <c r="AC696" s="26"/>
      <c r="AD696" s="26"/>
    </row>
    <row r="697" spans="1:30" ht="13.5" customHeight="1">
      <c r="A697" s="26"/>
      <c r="B697" s="26"/>
      <c r="C697" s="26"/>
      <c r="D697" s="26"/>
      <c r="E697" s="27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  <c r="AA697" s="26"/>
      <c r="AB697" s="26"/>
      <c r="AC697" s="26"/>
      <c r="AD697" s="26"/>
    </row>
    <row r="698" spans="1:30" ht="13.5" customHeight="1">
      <c r="A698" s="26"/>
      <c r="B698" s="26"/>
      <c r="C698" s="26"/>
      <c r="D698" s="26"/>
      <c r="E698" s="27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  <c r="AA698" s="26"/>
      <c r="AB698" s="26"/>
      <c r="AC698" s="26"/>
      <c r="AD698" s="26"/>
    </row>
    <row r="699" spans="1:30" ht="13.5" customHeight="1">
      <c r="A699" s="26"/>
      <c r="B699" s="26"/>
      <c r="C699" s="26"/>
      <c r="D699" s="26"/>
      <c r="E699" s="27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  <c r="AA699" s="26"/>
      <c r="AB699" s="26"/>
      <c r="AC699" s="26"/>
      <c r="AD699" s="26"/>
    </row>
    <row r="700" spans="1:30" ht="13.5" customHeight="1">
      <c r="A700" s="26"/>
      <c r="B700" s="26"/>
      <c r="C700" s="26"/>
      <c r="D700" s="26"/>
      <c r="E700" s="27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  <c r="AA700" s="26"/>
      <c r="AB700" s="26"/>
      <c r="AC700" s="26"/>
      <c r="AD700" s="26"/>
    </row>
    <row r="701" spans="1:30" ht="13.5" customHeight="1">
      <c r="A701" s="26"/>
      <c r="B701" s="26"/>
      <c r="C701" s="26"/>
      <c r="D701" s="26"/>
      <c r="E701" s="27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  <c r="AA701" s="26"/>
      <c r="AB701" s="26"/>
      <c r="AC701" s="26"/>
      <c r="AD701" s="26"/>
    </row>
    <row r="702" spans="1:30" ht="13.5" customHeight="1">
      <c r="A702" s="26"/>
      <c r="B702" s="26"/>
      <c r="C702" s="26"/>
      <c r="D702" s="26"/>
      <c r="E702" s="27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  <c r="AA702" s="26"/>
      <c r="AB702" s="26"/>
      <c r="AC702" s="26"/>
      <c r="AD702" s="26"/>
    </row>
    <row r="703" spans="1:30" ht="13.5" customHeight="1">
      <c r="A703" s="26"/>
      <c r="B703" s="26"/>
      <c r="C703" s="26"/>
      <c r="D703" s="26"/>
      <c r="E703" s="27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  <c r="AA703" s="26"/>
      <c r="AB703" s="26"/>
      <c r="AC703" s="26"/>
      <c r="AD703" s="26"/>
    </row>
    <row r="704" spans="1:30" ht="13.5" customHeight="1">
      <c r="A704" s="26"/>
      <c r="B704" s="26"/>
      <c r="C704" s="26"/>
      <c r="D704" s="26"/>
      <c r="E704" s="27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  <c r="AA704" s="26"/>
      <c r="AB704" s="26"/>
      <c r="AC704" s="26"/>
      <c r="AD704" s="26"/>
    </row>
    <row r="705" spans="1:30" ht="13.5" customHeight="1">
      <c r="A705" s="26"/>
      <c r="B705" s="26"/>
      <c r="C705" s="26"/>
      <c r="D705" s="26"/>
      <c r="E705" s="27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  <c r="AA705" s="26"/>
      <c r="AB705" s="26"/>
      <c r="AC705" s="26"/>
      <c r="AD705" s="26"/>
    </row>
    <row r="706" spans="1:30" ht="13.5" customHeight="1">
      <c r="A706" s="26"/>
      <c r="B706" s="26"/>
      <c r="C706" s="26"/>
      <c r="D706" s="26"/>
      <c r="E706" s="27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  <c r="AA706" s="26"/>
      <c r="AB706" s="26"/>
      <c r="AC706" s="26"/>
      <c r="AD706" s="26"/>
    </row>
    <row r="707" spans="1:30" ht="13.5" customHeight="1">
      <c r="A707" s="26"/>
      <c r="B707" s="26"/>
      <c r="C707" s="26"/>
      <c r="D707" s="26"/>
      <c r="E707" s="27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  <c r="AA707" s="26"/>
      <c r="AB707" s="26"/>
      <c r="AC707" s="26"/>
      <c r="AD707" s="26"/>
    </row>
    <row r="708" spans="1:30" ht="13.5" customHeight="1">
      <c r="A708" s="26"/>
      <c r="B708" s="26"/>
      <c r="C708" s="26"/>
      <c r="D708" s="26"/>
      <c r="E708" s="27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  <c r="AA708" s="26"/>
      <c r="AB708" s="26"/>
      <c r="AC708" s="26"/>
      <c r="AD708" s="26"/>
    </row>
    <row r="709" spans="1:30" ht="13.5" customHeight="1">
      <c r="A709" s="26"/>
      <c r="B709" s="26"/>
      <c r="C709" s="26"/>
      <c r="D709" s="26"/>
      <c r="E709" s="27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  <c r="AA709" s="26"/>
      <c r="AB709" s="26"/>
      <c r="AC709" s="26"/>
      <c r="AD709" s="26"/>
    </row>
    <row r="710" spans="1:30" ht="13.5" customHeight="1">
      <c r="A710" s="26"/>
      <c r="B710" s="26"/>
      <c r="C710" s="26"/>
      <c r="D710" s="26"/>
      <c r="E710" s="27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  <c r="AA710" s="26"/>
      <c r="AB710" s="26"/>
      <c r="AC710" s="26"/>
      <c r="AD710" s="26"/>
    </row>
    <row r="711" spans="1:30" ht="13.5" customHeight="1">
      <c r="A711" s="26"/>
      <c r="B711" s="26"/>
      <c r="C711" s="26"/>
      <c r="D711" s="26"/>
      <c r="E711" s="27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  <c r="AA711" s="26"/>
      <c r="AB711" s="26"/>
      <c r="AC711" s="26"/>
      <c r="AD711" s="26"/>
    </row>
    <row r="712" spans="1:30" ht="13.5" customHeight="1">
      <c r="A712" s="26"/>
      <c r="B712" s="26"/>
      <c r="C712" s="26"/>
      <c r="D712" s="26"/>
      <c r="E712" s="27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  <c r="AA712" s="26"/>
      <c r="AB712" s="26"/>
      <c r="AC712" s="26"/>
      <c r="AD712" s="26"/>
    </row>
    <row r="713" spans="1:30" ht="13.5" customHeight="1">
      <c r="A713" s="26"/>
      <c r="B713" s="26"/>
      <c r="C713" s="26"/>
      <c r="D713" s="26"/>
      <c r="E713" s="27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  <c r="AA713" s="26"/>
      <c r="AB713" s="26"/>
      <c r="AC713" s="26"/>
      <c r="AD713" s="26"/>
    </row>
    <row r="714" spans="1:30" ht="13.5" customHeight="1">
      <c r="A714" s="26"/>
      <c r="B714" s="26"/>
      <c r="C714" s="26"/>
      <c r="D714" s="26"/>
      <c r="E714" s="27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  <c r="AA714" s="26"/>
      <c r="AB714" s="26"/>
      <c r="AC714" s="26"/>
      <c r="AD714" s="26"/>
    </row>
    <row r="715" spans="1:30" ht="13.5" customHeight="1">
      <c r="A715" s="26"/>
      <c r="B715" s="26"/>
      <c r="C715" s="26"/>
      <c r="D715" s="26"/>
      <c r="E715" s="27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  <c r="AA715" s="26"/>
      <c r="AB715" s="26"/>
      <c r="AC715" s="26"/>
      <c r="AD715" s="26"/>
    </row>
    <row r="716" spans="1:30" ht="13.5" customHeight="1">
      <c r="A716" s="26"/>
      <c r="B716" s="26"/>
      <c r="C716" s="26"/>
      <c r="D716" s="26"/>
      <c r="E716" s="27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  <c r="AA716" s="26"/>
      <c r="AB716" s="26"/>
      <c r="AC716" s="26"/>
      <c r="AD716" s="26"/>
    </row>
    <row r="717" spans="1:30" ht="13.5" customHeight="1">
      <c r="A717" s="26"/>
      <c r="B717" s="26"/>
      <c r="C717" s="26"/>
      <c r="D717" s="26"/>
      <c r="E717" s="27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  <c r="AA717" s="26"/>
      <c r="AB717" s="26"/>
      <c r="AC717" s="26"/>
      <c r="AD717" s="26"/>
    </row>
    <row r="718" spans="1:30" ht="13.5" customHeight="1">
      <c r="A718" s="26"/>
      <c r="B718" s="26"/>
      <c r="C718" s="26"/>
      <c r="D718" s="26"/>
      <c r="E718" s="27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  <c r="AA718" s="26"/>
      <c r="AB718" s="26"/>
      <c r="AC718" s="26"/>
      <c r="AD718" s="26"/>
    </row>
    <row r="719" spans="1:30" ht="13.5" customHeight="1">
      <c r="A719" s="26"/>
      <c r="B719" s="26"/>
      <c r="C719" s="26"/>
      <c r="D719" s="26"/>
      <c r="E719" s="27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  <c r="AA719" s="26"/>
      <c r="AB719" s="26"/>
      <c r="AC719" s="26"/>
      <c r="AD719" s="26"/>
    </row>
    <row r="720" spans="1:30" ht="13.5" customHeight="1">
      <c r="A720" s="26"/>
      <c r="B720" s="26"/>
      <c r="C720" s="26"/>
      <c r="D720" s="26"/>
      <c r="E720" s="27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  <c r="AA720" s="26"/>
      <c r="AB720" s="26"/>
      <c r="AC720" s="26"/>
      <c r="AD720" s="26"/>
    </row>
    <row r="721" spans="1:30" ht="13.5" customHeight="1">
      <c r="A721" s="26"/>
      <c r="B721" s="26"/>
      <c r="C721" s="26"/>
      <c r="D721" s="26"/>
      <c r="E721" s="27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  <c r="AA721" s="26"/>
      <c r="AB721" s="26"/>
      <c r="AC721" s="26"/>
      <c r="AD721" s="26"/>
    </row>
    <row r="722" spans="1:30" ht="13.5" customHeight="1">
      <c r="A722" s="26"/>
      <c r="B722" s="26"/>
      <c r="C722" s="26"/>
      <c r="D722" s="26"/>
      <c r="E722" s="27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  <c r="AA722" s="26"/>
      <c r="AB722" s="26"/>
      <c r="AC722" s="26"/>
      <c r="AD722" s="26"/>
    </row>
    <row r="723" spans="1:30" ht="13.5" customHeight="1">
      <c r="A723" s="26"/>
      <c r="B723" s="26"/>
      <c r="C723" s="26"/>
      <c r="D723" s="26"/>
      <c r="E723" s="27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  <c r="AA723" s="26"/>
      <c r="AB723" s="26"/>
      <c r="AC723" s="26"/>
      <c r="AD723" s="26"/>
    </row>
    <row r="724" spans="1:30" ht="13.5" customHeight="1">
      <c r="A724" s="26"/>
      <c r="B724" s="26"/>
      <c r="C724" s="26"/>
      <c r="D724" s="26"/>
      <c r="E724" s="27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  <c r="AA724" s="26"/>
      <c r="AB724" s="26"/>
      <c r="AC724" s="26"/>
      <c r="AD724" s="26"/>
    </row>
    <row r="725" spans="1:30" ht="13.5" customHeight="1">
      <c r="A725" s="26"/>
      <c r="B725" s="26"/>
      <c r="C725" s="26"/>
      <c r="D725" s="26"/>
      <c r="E725" s="27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  <c r="AA725" s="26"/>
      <c r="AB725" s="26"/>
      <c r="AC725" s="26"/>
      <c r="AD725" s="26"/>
    </row>
    <row r="726" spans="1:30" ht="13.5" customHeight="1">
      <c r="A726" s="26"/>
      <c r="B726" s="26"/>
      <c r="C726" s="26"/>
      <c r="D726" s="26"/>
      <c r="E726" s="27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  <c r="AA726" s="26"/>
      <c r="AB726" s="26"/>
      <c r="AC726" s="26"/>
      <c r="AD726" s="26"/>
    </row>
    <row r="727" spans="1:30" ht="13.5" customHeight="1">
      <c r="A727" s="26"/>
      <c r="B727" s="26"/>
      <c r="C727" s="26"/>
      <c r="D727" s="26"/>
      <c r="E727" s="27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  <c r="AA727" s="26"/>
      <c r="AB727" s="26"/>
      <c r="AC727" s="26"/>
      <c r="AD727" s="26"/>
    </row>
    <row r="728" spans="1:30" ht="13.5" customHeight="1">
      <c r="A728" s="26"/>
      <c r="B728" s="26"/>
      <c r="C728" s="26"/>
      <c r="D728" s="26"/>
      <c r="E728" s="27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  <c r="AA728" s="26"/>
      <c r="AB728" s="26"/>
      <c r="AC728" s="26"/>
      <c r="AD728" s="26"/>
    </row>
    <row r="729" spans="1:30" ht="13.5" customHeight="1">
      <c r="A729" s="26"/>
      <c r="B729" s="26"/>
      <c r="C729" s="26"/>
      <c r="D729" s="26"/>
      <c r="E729" s="27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  <c r="AA729" s="26"/>
      <c r="AB729" s="26"/>
      <c r="AC729" s="26"/>
      <c r="AD729" s="26"/>
    </row>
    <row r="730" spans="1:30" ht="13.5" customHeight="1">
      <c r="A730" s="26"/>
      <c r="B730" s="26"/>
      <c r="C730" s="26"/>
      <c r="D730" s="26"/>
      <c r="E730" s="27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  <c r="AA730" s="26"/>
      <c r="AB730" s="26"/>
      <c r="AC730" s="26"/>
      <c r="AD730" s="26"/>
    </row>
    <row r="731" spans="1:30" ht="13.5" customHeight="1">
      <c r="A731" s="26"/>
      <c r="B731" s="26"/>
      <c r="C731" s="26"/>
      <c r="D731" s="26"/>
      <c r="E731" s="27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  <c r="AA731" s="26"/>
      <c r="AB731" s="26"/>
      <c r="AC731" s="26"/>
      <c r="AD731" s="26"/>
    </row>
    <row r="732" spans="1:30" ht="13.5" customHeight="1">
      <c r="A732" s="26"/>
      <c r="B732" s="26"/>
      <c r="C732" s="26"/>
      <c r="D732" s="26"/>
      <c r="E732" s="27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  <c r="AA732" s="26"/>
      <c r="AB732" s="26"/>
      <c r="AC732" s="26"/>
      <c r="AD732" s="26"/>
    </row>
    <row r="733" spans="1:30" ht="13.5" customHeight="1">
      <c r="A733" s="26"/>
      <c r="B733" s="26"/>
      <c r="C733" s="26"/>
      <c r="D733" s="26"/>
      <c r="E733" s="27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  <c r="AA733" s="26"/>
      <c r="AB733" s="26"/>
      <c r="AC733" s="26"/>
      <c r="AD733" s="26"/>
    </row>
    <row r="734" spans="1:30" ht="13.5" customHeight="1">
      <c r="A734" s="26"/>
      <c r="B734" s="26"/>
      <c r="C734" s="26"/>
      <c r="D734" s="26"/>
      <c r="E734" s="27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  <c r="AA734" s="26"/>
      <c r="AB734" s="26"/>
      <c r="AC734" s="26"/>
      <c r="AD734" s="26"/>
    </row>
    <row r="735" spans="1:30" ht="13.5" customHeight="1">
      <c r="A735" s="26"/>
      <c r="B735" s="26"/>
      <c r="C735" s="26"/>
      <c r="D735" s="26"/>
      <c r="E735" s="27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  <c r="AA735" s="26"/>
      <c r="AB735" s="26"/>
      <c r="AC735" s="26"/>
      <c r="AD735" s="26"/>
    </row>
    <row r="736" spans="1:30" ht="13.5" customHeight="1">
      <c r="A736" s="26"/>
      <c r="B736" s="26"/>
      <c r="C736" s="26"/>
      <c r="D736" s="26"/>
      <c r="E736" s="27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  <c r="AA736" s="26"/>
      <c r="AB736" s="26"/>
      <c r="AC736" s="26"/>
      <c r="AD736" s="26"/>
    </row>
    <row r="737" spans="1:30" ht="13.5" customHeight="1">
      <c r="A737" s="26"/>
      <c r="B737" s="26"/>
      <c r="C737" s="26"/>
      <c r="D737" s="26"/>
      <c r="E737" s="27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  <c r="AA737" s="26"/>
      <c r="AB737" s="26"/>
      <c r="AC737" s="26"/>
      <c r="AD737" s="26"/>
    </row>
    <row r="738" spans="1:30" ht="13.5" customHeight="1">
      <c r="A738" s="26"/>
      <c r="B738" s="26"/>
      <c r="C738" s="26"/>
      <c r="D738" s="26"/>
      <c r="E738" s="27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  <c r="AA738" s="26"/>
      <c r="AB738" s="26"/>
      <c r="AC738" s="26"/>
      <c r="AD738" s="26"/>
    </row>
    <row r="739" spans="1:30" ht="13.5" customHeight="1">
      <c r="A739" s="26"/>
      <c r="B739" s="26"/>
      <c r="C739" s="26"/>
      <c r="D739" s="26"/>
      <c r="E739" s="27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  <c r="AA739" s="26"/>
      <c r="AB739" s="26"/>
      <c r="AC739" s="26"/>
      <c r="AD739" s="26"/>
    </row>
    <row r="740" spans="1:30" ht="13.5" customHeight="1">
      <c r="A740" s="26"/>
      <c r="B740" s="26"/>
      <c r="C740" s="26"/>
      <c r="D740" s="26"/>
      <c r="E740" s="27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  <c r="AA740" s="26"/>
      <c r="AB740" s="26"/>
      <c r="AC740" s="26"/>
      <c r="AD740" s="26"/>
    </row>
    <row r="741" spans="1:30" ht="13.5" customHeight="1">
      <c r="A741" s="26"/>
      <c r="B741" s="26"/>
      <c r="C741" s="26"/>
      <c r="D741" s="26"/>
      <c r="E741" s="27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  <c r="AA741" s="26"/>
      <c r="AB741" s="26"/>
      <c r="AC741" s="26"/>
      <c r="AD741" s="26"/>
    </row>
    <row r="742" spans="1:30" ht="13.5" customHeight="1">
      <c r="A742" s="26"/>
      <c r="B742" s="26"/>
      <c r="C742" s="26"/>
      <c r="D742" s="26"/>
      <c r="E742" s="27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  <c r="AA742" s="26"/>
      <c r="AB742" s="26"/>
      <c r="AC742" s="26"/>
      <c r="AD742" s="26"/>
    </row>
    <row r="743" spans="1:30" ht="13.5" customHeight="1">
      <c r="A743" s="26"/>
      <c r="B743" s="26"/>
      <c r="C743" s="26"/>
      <c r="D743" s="26"/>
      <c r="E743" s="27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  <c r="AA743" s="26"/>
      <c r="AB743" s="26"/>
      <c r="AC743" s="26"/>
      <c r="AD743" s="26"/>
    </row>
    <row r="744" spans="1:30" ht="13.5" customHeight="1">
      <c r="A744" s="26"/>
      <c r="B744" s="26"/>
      <c r="C744" s="26"/>
      <c r="D744" s="26"/>
      <c r="E744" s="27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  <c r="AA744" s="26"/>
      <c r="AB744" s="26"/>
      <c r="AC744" s="26"/>
      <c r="AD744" s="26"/>
    </row>
    <row r="745" spans="1:30" ht="13.5" customHeight="1">
      <c r="A745" s="26"/>
      <c r="B745" s="26"/>
      <c r="C745" s="26"/>
      <c r="D745" s="26"/>
      <c r="E745" s="27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  <c r="AA745" s="26"/>
      <c r="AB745" s="26"/>
      <c r="AC745" s="26"/>
      <c r="AD745" s="26"/>
    </row>
    <row r="746" spans="1:30" ht="13.5" customHeight="1">
      <c r="A746" s="26"/>
      <c r="B746" s="26"/>
      <c r="C746" s="26"/>
      <c r="D746" s="26"/>
      <c r="E746" s="27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  <c r="AA746" s="26"/>
      <c r="AB746" s="26"/>
      <c r="AC746" s="26"/>
      <c r="AD746" s="26"/>
    </row>
    <row r="747" spans="1:30" ht="13.5" customHeight="1">
      <c r="A747" s="26"/>
      <c r="B747" s="26"/>
      <c r="C747" s="26"/>
      <c r="D747" s="26"/>
      <c r="E747" s="27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  <c r="AA747" s="26"/>
      <c r="AB747" s="26"/>
      <c r="AC747" s="26"/>
      <c r="AD747" s="26"/>
    </row>
    <row r="748" spans="1:30" ht="13.5" customHeight="1">
      <c r="A748" s="26"/>
      <c r="B748" s="26"/>
      <c r="C748" s="26"/>
      <c r="D748" s="26"/>
      <c r="E748" s="27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  <c r="AA748" s="26"/>
      <c r="AB748" s="26"/>
      <c r="AC748" s="26"/>
      <c r="AD748" s="26"/>
    </row>
    <row r="749" spans="1:30" ht="13.5" customHeight="1">
      <c r="A749" s="26"/>
      <c r="B749" s="26"/>
      <c r="C749" s="26"/>
      <c r="D749" s="26"/>
      <c r="E749" s="27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  <c r="AA749" s="26"/>
      <c r="AB749" s="26"/>
      <c r="AC749" s="26"/>
      <c r="AD749" s="26"/>
    </row>
    <row r="750" spans="1:30" ht="13.5" customHeight="1">
      <c r="A750" s="26"/>
      <c r="B750" s="26"/>
      <c r="C750" s="26"/>
      <c r="D750" s="26"/>
      <c r="E750" s="27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  <c r="AA750" s="26"/>
      <c r="AB750" s="26"/>
      <c r="AC750" s="26"/>
      <c r="AD750" s="26"/>
    </row>
    <row r="751" spans="1:30" ht="13.5" customHeight="1">
      <c r="A751" s="26"/>
      <c r="B751" s="26"/>
      <c r="C751" s="26"/>
      <c r="D751" s="26"/>
      <c r="E751" s="27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  <c r="AA751" s="26"/>
      <c r="AB751" s="26"/>
      <c r="AC751" s="26"/>
      <c r="AD751" s="26"/>
    </row>
    <row r="752" spans="1:30" ht="13.5" customHeight="1">
      <c r="A752" s="26"/>
      <c r="B752" s="26"/>
      <c r="C752" s="26"/>
      <c r="D752" s="26"/>
      <c r="E752" s="27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  <c r="AA752" s="26"/>
      <c r="AB752" s="26"/>
      <c r="AC752" s="26"/>
      <c r="AD752" s="26"/>
    </row>
    <row r="753" spans="1:30" ht="13.5" customHeight="1">
      <c r="A753" s="26"/>
      <c r="B753" s="26"/>
      <c r="C753" s="26"/>
      <c r="D753" s="26"/>
      <c r="E753" s="27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  <c r="AA753" s="26"/>
      <c r="AB753" s="26"/>
      <c r="AC753" s="26"/>
      <c r="AD753" s="26"/>
    </row>
    <row r="754" spans="1:30" ht="13.5" customHeight="1">
      <c r="A754" s="26"/>
      <c r="B754" s="26"/>
      <c r="C754" s="26"/>
      <c r="D754" s="26"/>
      <c r="E754" s="27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  <c r="AA754" s="26"/>
      <c r="AB754" s="26"/>
      <c r="AC754" s="26"/>
      <c r="AD754" s="26"/>
    </row>
    <row r="755" spans="1:30" ht="13.5" customHeight="1">
      <c r="A755" s="26"/>
      <c r="B755" s="26"/>
      <c r="C755" s="26"/>
      <c r="D755" s="26"/>
      <c r="E755" s="27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  <c r="AA755" s="26"/>
      <c r="AB755" s="26"/>
      <c r="AC755" s="26"/>
      <c r="AD755" s="26"/>
    </row>
    <row r="756" spans="1:30" ht="13.5" customHeight="1">
      <c r="A756" s="26"/>
      <c r="B756" s="26"/>
      <c r="C756" s="26"/>
      <c r="D756" s="26"/>
      <c r="E756" s="27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  <c r="AA756" s="26"/>
      <c r="AB756" s="26"/>
      <c r="AC756" s="26"/>
      <c r="AD756" s="26"/>
    </row>
    <row r="757" spans="1:30" ht="13.5" customHeight="1">
      <c r="A757" s="26"/>
      <c r="B757" s="26"/>
      <c r="C757" s="26"/>
      <c r="D757" s="26"/>
      <c r="E757" s="27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  <c r="AA757" s="26"/>
      <c r="AB757" s="26"/>
      <c r="AC757" s="26"/>
      <c r="AD757" s="26"/>
    </row>
    <row r="758" spans="1:30" ht="13.5" customHeight="1">
      <c r="A758" s="26"/>
      <c r="B758" s="26"/>
      <c r="C758" s="26"/>
      <c r="D758" s="26"/>
      <c r="E758" s="27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  <c r="AA758" s="26"/>
      <c r="AB758" s="26"/>
      <c r="AC758" s="26"/>
      <c r="AD758" s="26"/>
    </row>
    <row r="759" spans="1:30" ht="13.5" customHeight="1">
      <c r="A759" s="26"/>
      <c r="B759" s="26"/>
      <c r="C759" s="26"/>
      <c r="D759" s="26"/>
      <c r="E759" s="27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  <c r="AA759" s="26"/>
      <c r="AB759" s="26"/>
      <c r="AC759" s="26"/>
      <c r="AD759" s="26"/>
    </row>
    <row r="760" spans="1:30" ht="13.5" customHeight="1">
      <c r="A760" s="26"/>
      <c r="B760" s="26"/>
      <c r="C760" s="26"/>
      <c r="D760" s="26"/>
      <c r="E760" s="27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  <c r="AA760" s="26"/>
      <c r="AB760" s="26"/>
      <c r="AC760" s="26"/>
      <c r="AD760" s="26"/>
    </row>
    <row r="761" spans="1:30" ht="13.5" customHeight="1">
      <c r="A761" s="26"/>
      <c r="B761" s="26"/>
      <c r="C761" s="26"/>
      <c r="D761" s="26"/>
      <c r="E761" s="27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  <c r="AA761" s="26"/>
      <c r="AB761" s="26"/>
      <c r="AC761" s="26"/>
      <c r="AD761" s="26"/>
    </row>
    <row r="762" spans="1:30" ht="13.5" customHeight="1">
      <c r="A762" s="26"/>
      <c r="B762" s="26"/>
      <c r="C762" s="26"/>
      <c r="D762" s="26"/>
      <c r="E762" s="27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  <c r="AA762" s="26"/>
      <c r="AB762" s="26"/>
      <c r="AC762" s="26"/>
      <c r="AD762" s="26"/>
    </row>
    <row r="763" spans="1:30" ht="13.5" customHeight="1">
      <c r="A763" s="26"/>
      <c r="B763" s="26"/>
      <c r="C763" s="26"/>
      <c r="D763" s="26"/>
      <c r="E763" s="27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  <c r="AA763" s="26"/>
      <c r="AB763" s="26"/>
      <c r="AC763" s="26"/>
      <c r="AD763" s="26"/>
    </row>
    <row r="764" spans="1:30" ht="13.5" customHeight="1">
      <c r="A764" s="26"/>
      <c r="B764" s="26"/>
      <c r="C764" s="26"/>
      <c r="D764" s="26"/>
      <c r="E764" s="27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  <c r="AA764" s="26"/>
      <c r="AB764" s="26"/>
      <c r="AC764" s="26"/>
      <c r="AD764" s="26"/>
    </row>
    <row r="765" spans="1:30" ht="13.5" customHeight="1">
      <c r="A765" s="26"/>
      <c r="B765" s="26"/>
      <c r="C765" s="26"/>
      <c r="D765" s="26"/>
      <c r="E765" s="27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  <c r="AA765" s="26"/>
      <c r="AB765" s="26"/>
      <c r="AC765" s="26"/>
      <c r="AD765" s="26"/>
    </row>
    <row r="766" spans="1:30" ht="13.5" customHeight="1">
      <c r="A766" s="26"/>
      <c r="B766" s="26"/>
      <c r="C766" s="26"/>
      <c r="D766" s="26"/>
      <c r="E766" s="27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  <c r="AA766" s="26"/>
      <c r="AB766" s="26"/>
      <c r="AC766" s="26"/>
      <c r="AD766" s="26"/>
    </row>
    <row r="767" spans="1:30" ht="13.5" customHeight="1">
      <c r="A767" s="26"/>
      <c r="B767" s="26"/>
      <c r="C767" s="26"/>
      <c r="D767" s="26"/>
      <c r="E767" s="27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  <c r="AA767" s="26"/>
      <c r="AB767" s="26"/>
      <c r="AC767" s="26"/>
      <c r="AD767" s="26"/>
    </row>
    <row r="768" spans="1:30" ht="13.5" customHeight="1">
      <c r="A768" s="26"/>
      <c r="B768" s="26"/>
      <c r="C768" s="26"/>
      <c r="D768" s="26"/>
      <c r="E768" s="27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  <c r="AA768" s="26"/>
      <c r="AB768" s="26"/>
      <c r="AC768" s="26"/>
      <c r="AD768" s="26"/>
    </row>
    <row r="769" spans="1:30" ht="13.5" customHeight="1">
      <c r="A769" s="26"/>
      <c r="B769" s="26"/>
      <c r="C769" s="26"/>
      <c r="D769" s="26"/>
      <c r="E769" s="27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  <c r="AA769" s="26"/>
      <c r="AB769" s="26"/>
      <c r="AC769" s="26"/>
      <c r="AD769" s="26"/>
    </row>
    <row r="770" spans="1:30" ht="13.5" customHeight="1">
      <c r="A770" s="26"/>
      <c r="B770" s="26"/>
      <c r="C770" s="26"/>
      <c r="D770" s="26"/>
      <c r="E770" s="27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  <c r="AA770" s="26"/>
      <c r="AB770" s="26"/>
      <c r="AC770" s="26"/>
      <c r="AD770" s="26"/>
    </row>
    <row r="771" spans="1:30" ht="13.5" customHeight="1">
      <c r="A771" s="26"/>
      <c r="B771" s="26"/>
      <c r="C771" s="26"/>
      <c r="D771" s="26"/>
      <c r="E771" s="27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  <c r="AA771" s="26"/>
      <c r="AB771" s="26"/>
      <c r="AC771" s="26"/>
      <c r="AD771" s="26"/>
    </row>
    <row r="772" spans="1:30" ht="13.5" customHeight="1">
      <c r="A772" s="26"/>
      <c r="B772" s="26"/>
      <c r="C772" s="26"/>
      <c r="D772" s="26"/>
      <c r="E772" s="27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  <c r="AA772" s="26"/>
      <c r="AB772" s="26"/>
      <c r="AC772" s="26"/>
      <c r="AD772" s="26"/>
    </row>
    <row r="773" spans="1:30" ht="13.5" customHeight="1">
      <c r="A773" s="26"/>
      <c r="B773" s="26"/>
      <c r="C773" s="26"/>
      <c r="D773" s="26"/>
      <c r="E773" s="27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  <c r="AA773" s="26"/>
      <c r="AB773" s="26"/>
      <c r="AC773" s="26"/>
      <c r="AD773" s="26"/>
    </row>
    <row r="774" spans="1:30" ht="13.5" customHeight="1">
      <c r="A774" s="26"/>
      <c r="B774" s="26"/>
      <c r="C774" s="26"/>
      <c r="D774" s="26"/>
      <c r="E774" s="27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  <c r="AA774" s="26"/>
      <c r="AB774" s="26"/>
      <c r="AC774" s="26"/>
      <c r="AD774" s="26"/>
    </row>
    <row r="775" spans="1:30" ht="13.5" customHeight="1">
      <c r="A775" s="26"/>
      <c r="B775" s="26"/>
      <c r="C775" s="26"/>
      <c r="D775" s="26"/>
      <c r="E775" s="27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  <c r="AA775" s="26"/>
      <c r="AB775" s="26"/>
      <c r="AC775" s="26"/>
      <c r="AD775" s="26"/>
    </row>
    <row r="776" spans="1:30" ht="13.5" customHeight="1">
      <c r="A776" s="26"/>
      <c r="B776" s="26"/>
      <c r="C776" s="26"/>
      <c r="D776" s="26"/>
      <c r="E776" s="27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  <c r="AA776" s="26"/>
      <c r="AB776" s="26"/>
      <c r="AC776" s="26"/>
      <c r="AD776" s="26"/>
    </row>
    <row r="777" spans="1:30" ht="13.5" customHeight="1">
      <c r="A777" s="26"/>
      <c r="B777" s="26"/>
      <c r="C777" s="26"/>
      <c r="D777" s="26"/>
      <c r="E777" s="27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  <c r="AA777" s="26"/>
      <c r="AB777" s="26"/>
      <c r="AC777" s="26"/>
      <c r="AD777" s="26"/>
    </row>
    <row r="778" spans="1:30" ht="13.5" customHeight="1">
      <c r="A778" s="26"/>
      <c r="B778" s="26"/>
      <c r="C778" s="26"/>
      <c r="D778" s="26"/>
      <c r="E778" s="27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  <c r="AA778" s="26"/>
      <c r="AB778" s="26"/>
      <c r="AC778" s="26"/>
      <c r="AD778" s="26"/>
    </row>
    <row r="779" spans="1:30" ht="13.5" customHeight="1">
      <c r="A779" s="26"/>
      <c r="B779" s="26"/>
      <c r="C779" s="26"/>
      <c r="D779" s="26"/>
      <c r="E779" s="27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  <c r="AA779" s="26"/>
      <c r="AB779" s="26"/>
      <c r="AC779" s="26"/>
      <c r="AD779" s="26"/>
    </row>
    <row r="780" spans="1:30" ht="13.5" customHeight="1">
      <c r="A780" s="26"/>
      <c r="B780" s="26"/>
      <c r="C780" s="26"/>
      <c r="D780" s="26"/>
      <c r="E780" s="27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  <c r="AA780" s="26"/>
      <c r="AB780" s="26"/>
      <c r="AC780" s="26"/>
      <c r="AD780" s="26"/>
    </row>
    <row r="781" spans="1:30" ht="13.5" customHeight="1">
      <c r="A781" s="26"/>
      <c r="B781" s="26"/>
      <c r="C781" s="26"/>
      <c r="D781" s="26"/>
      <c r="E781" s="27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  <c r="AA781" s="26"/>
      <c r="AB781" s="26"/>
      <c r="AC781" s="26"/>
      <c r="AD781" s="26"/>
    </row>
    <row r="782" spans="1:30" ht="13.5" customHeight="1">
      <c r="A782" s="26"/>
      <c r="B782" s="26"/>
      <c r="C782" s="26"/>
      <c r="D782" s="26"/>
      <c r="E782" s="27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  <c r="AA782" s="26"/>
      <c r="AB782" s="26"/>
      <c r="AC782" s="26"/>
      <c r="AD782" s="26"/>
    </row>
    <row r="783" spans="1:30" ht="13.5" customHeight="1">
      <c r="A783" s="26"/>
      <c r="B783" s="26"/>
      <c r="C783" s="26"/>
      <c r="D783" s="26"/>
      <c r="E783" s="27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  <c r="AA783" s="26"/>
      <c r="AB783" s="26"/>
      <c r="AC783" s="26"/>
      <c r="AD783" s="26"/>
    </row>
    <row r="784" spans="1:30" ht="13.5" customHeight="1">
      <c r="A784" s="26"/>
      <c r="B784" s="26"/>
      <c r="C784" s="26"/>
      <c r="D784" s="26"/>
      <c r="E784" s="27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  <c r="AA784" s="26"/>
      <c r="AB784" s="26"/>
      <c r="AC784" s="26"/>
      <c r="AD784" s="26"/>
    </row>
    <row r="785" spans="1:30" ht="13.5" customHeight="1">
      <c r="A785" s="26"/>
      <c r="B785" s="26"/>
      <c r="C785" s="26"/>
      <c r="D785" s="26"/>
      <c r="E785" s="27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  <c r="AA785" s="26"/>
      <c r="AB785" s="26"/>
      <c r="AC785" s="26"/>
      <c r="AD785" s="26"/>
    </row>
    <row r="786" spans="1:30" ht="13.5" customHeight="1">
      <c r="A786" s="26"/>
      <c r="B786" s="26"/>
      <c r="C786" s="26"/>
      <c r="D786" s="26"/>
      <c r="E786" s="27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  <c r="AA786" s="26"/>
      <c r="AB786" s="26"/>
      <c r="AC786" s="26"/>
      <c r="AD786" s="26"/>
    </row>
    <row r="787" spans="1:30" ht="13.5" customHeight="1">
      <c r="A787" s="26"/>
      <c r="B787" s="26"/>
      <c r="C787" s="26"/>
      <c r="D787" s="26"/>
      <c r="E787" s="27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  <c r="AA787" s="26"/>
      <c r="AB787" s="26"/>
      <c r="AC787" s="26"/>
      <c r="AD787" s="26"/>
    </row>
    <row r="788" spans="1:30" ht="13.5" customHeight="1">
      <c r="A788" s="26"/>
      <c r="B788" s="26"/>
      <c r="C788" s="26"/>
      <c r="D788" s="26"/>
      <c r="E788" s="27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  <c r="AA788" s="26"/>
      <c r="AB788" s="26"/>
      <c r="AC788" s="26"/>
      <c r="AD788" s="26"/>
    </row>
    <row r="789" spans="1:30" ht="13.5" customHeight="1">
      <c r="A789" s="26"/>
      <c r="B789" s="26"/>
      <c r="C789" s="26"/>
      <c r="D789" s="26"/>
      <c r="E789" s="27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  <c r="AA789" s="26"/>
      <c r="AB789" s="26"/>
      <c r="AC789" s="26"/>
      <c r="AD789" s="26"/>
    </row>
    <row r="790" spans="1:30" ht="13.5" customHeight="1">
      <c r="A790" s="26"/>
      <c r="B790" s="26"/>
      <c r="C790" s="26"/>
      <c r="D790" s="26"/>
      <c r="E790" s="27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  <c r="AA790" s="26"/>
      <c r="AB790" s="26"/>
      <c r="AC790" s="26"/>
      <c r="AD790" s="26"/>
    </row>
    <row r="791" spans="1:30" ht="13.5" customHeight="1">
      <c r="A791" s="26"/>
      <c r="B791" s="26"/>
      <c r="C791" s="26"/>
      <c r="D791" s="26"/>
      <c r="E791" s="27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  <c r="AA791" s="26"/>
      <c r="AB791" s="26"/>
      <c r="AC791" s="26"/>
      <c r="AD791" s="26"/>
    </row>
    <row r="792" spans="1:30" ht="13.5" customHeight="1">
      <c r="A792" s="26"/>
      <c r="B792" s="26"/>
      <c r="C792" s="26"/>
      <c r="D792" s="26"/>
      <c r="E792" s="27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  <c r="AA792" s="26"/>
      <c r="AB792" s="26"/>
      <c r="AC792" s="26"/>
      <c r="AD792" s="26"/>
    </row>
    <row r="793" spans="1:30" ht="13.5" customHeight="1">
      <c r="A793" s="26"/>
      <c r="B793" s="26"/>
      <c r="C793" s="26"/>
      <c r="D793" s="26"/>
      <c r="E793" s="27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  <c r="AA793" s="26"/>
      <c r="AB793" s="26"/>
      <c r="AC793" s="26"/>
      <c r="AD793" s="26"/>
    </row>
    <row r="794" spans="1:30" ht="13.5" customHeight="1">
      <c r="A794" s="26"/>
      <c r="B794" s="26"/>
      <c r="C794" s="26"/>
      <c r="D794" s="26"/>
      <c r="E794" s="27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  <c r="AA794" s="26"/>
      <c r="AB794" s="26"/>
      <c r="AC794" s="26"/>
      <c r="AD794" s="26"/>
    </row>
    <row r="795" spans="1:30" ht="13.5" customHeight="1">
      <c r="A795" s="26"/>
      <c r="B795" s="26"/>
      <c r="C795" s="26"/>
      <c r="D795" s="26"/>
      <c r="E795" s="27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  <c r="AA795" s="26"/>
      <c r="AB795" s="26"/>
      <c r="AC795" s="26"/>
      <c r="AD795" s="26"/>
    </row>
    <row r="796" spans="1:30" ht="13.5" customHeight="1">
      <c r="A796" s="26"/>
      <c r="B796" s="26"/>
      <c r="C796" s="26"/>
      <c r="D796" s="26"/>
      <c r="E796" s="27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  <c r="AA796" s="26"/>
      <c r="AB796" s="26"/>
      <c r="AC796" s="26"/>
      <c r="AD796" s="26"/>
    </row>
    <row r="797" spans="1:30" ht="13.5" customHeight="1">
      <c r="A797" s="26"/>
      <c r="B797" s="26"/>
      <c r="C797" s="26"/>
      <c r="D797" s="26"/>
      <c r="E797" s="27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  <c r="AA797" s="26"/>
      <c r="AB797" s="26"/>
      <c r="AC797" s="26"/>
      <c r="AD797" s="26"/>
    </row>
    <row r="798" spans="1:30" ht="13.5" customHeight="1">
      <c r="A798" s="26"/>
      <c r="B798" s="26"/>
      <c r="C798" s="26"/>
      <c r="D798" s="26"/>
      <c r="E798" s="27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  <c r="AA798" s="26"/>
      <c r="AB798" s="26"/>
      <c r="AC798" s="26"/>
      <c r="AD798" s="26"/>
    </row>
    <row r="799" spans="1:30" ht="13.5" customHeight="1">
      <c r="A799" s="26"/>
      <c r="B799" s="26"/>
      <c r="C799" s="26"/>
      <c r="D799" s="26"/>
      <c r="E799" s="27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  <c r="AA799" s="26"/>
      <c r="AB799" s="26"/>
      <c r="AC799" s="26"/>
      <c r="AD799" s="26"/>
    </row>
    <row r="800" spans="1:30" ht="13.5" customHeight="1">
      <c r="A800" s="26"/>
      <c r="B800" s="26"/>
      <c r="C800" s="26"/>
      <c r="D800" s="26"/>
      <c r="E800" s="27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  <c r="AA800" s="26"/>
      <c r="AB800" s="26"/>
      <c r="AC800" s="26"/>
      <c r="AD800" s="26"/>
    </row>
    <row r="801" spans="1:30" ht="13.5" customHeight="1">
      <c r="A801" s="26"/>
      <c r="B801" s="26"/>
      <c r="C801" s="26"/>
      <c r="D801" s="26"/>
      <c r="E801" s="27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  <c r="AA801" s="26"/>
      <c r="AB801" s="26"/>
      <c r="AC801" s="26"/>
      <c r="AD801" s="26"/>
    </row>
    <row r="802" spans="1:30" ht="13.5" customHeight="1">
      <c r="A802" s="26"/>
      <c r="B802" s="26"/>
      <c r="C802" s="26"/>
      <c r="D802" s="26"/>
      <c r="E802" s="27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  <c r="AA802" s="26"/>
      <c r="AB802" s="26"/>
      <c r="AC802" s="26"/>
      <c r="AD802" s="26"/>
    </row>
    <row r="803" spans="1:30" ht="13.5" customHeight="1">
      <c r="A803" s="26"/>
      <c r="B803" s="26"/>
      <c r="C803" s="26"/>
      <c r="D803" s="26"/>
      <c r="E803" s="27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  <c r="AA803" s="26"/>
      <c r="AB803" s="26"/>
      <c r="AC803" s="26"/>
      <c r="AD803" s="26"/>
    </row>
    <row r="804" spans="1:30" ht="13.5" customHeight="1">
      <c r="A804" s="26"/>
      <c r="B804" s="26"/>
      <c r="C804" s="26"/>
      <c r="D804" s="26"/>
      <c r="E804" s="27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  <c r="AA804" s="26"/>
      <c r="AB804" s="26"/>
      <c r="AC804" s="26"/>
      <c r="AD804" s="26"/>
    </row>
    <row r="805" spans="1:30" ht="13.5" customHeight="1">
      <c r="A805" s="26"/>
      <c r="B805" s="26"/>
      <c r="C805" s="26"/>
      <c r="D805" s="26"/>
      <c r="E805" s="27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  <c r="AA805" s="26"/>
      <c r="AB805" s="26"/>
      <c r="AC805" s="26"/>
      <c r="AD805" s="26"/>
    </row>
    <row r="806" spans="1:30" ht="13.5" customHeight="1">
      <c r="A806" s="26"/>
      <c r="B806" s="26"/>
      <c r="C806" s="26"/>
      <c r="D806" s="26"/>
      <c r="E806" s="27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  <c r="AA806" s="26"/>
      <c r="AB806" s="26"/>
      <c r="AC806" s="26"/>
      <c r="AD806" s="26"/>
    </row>
    <row r="807" spans="1:30" ht="13.5" customHeight="1">
      <c r="A807" s="26"/>
      <c r="B807" s="26"/>
      <c r="C807" s="26"/>
      <c r="D807" s="26"/>
      <c r="E807" s="27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  <c r="AA807" s="26"/>
      <c r="AB807" s="26"/>
      <c r="AC807" s="26"/>
      <c r="AD807" s="26"/>
    </row>
    <row r="808" spans="1:30" ht="13.5" customHeight="1">
      <c r="A808" s="26"/>
      <c r="B808" s="26"/>
      <c r="C808" s="26"/>
      <c r="D808" s="26"/>
      <c r="E808" s="27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  <c r="AA808" s="26"/>
      <c r="AB808" s="26"/>
      <c r="AC808" s="26"/>
      <c r="AD808" s="26"/>
    </row>
    <row r="809" spans="1:30" ht="13.5" customHeight="1">
      <c r="A809" s="26"/>
      <c r="B809" s="26"/>
      <c r="C809" s="26"/>
      <c r="D809" s="26"/>
      <c r="E809" s="27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  <c r="AA809" s="26"/>
      <c r="AB809" s="26"/>
      <c r="AC809" s="26"/>
      <c r="AD809" s="26"/>
    </row>
    <row r="810" spans="1:30" ht="13.5" customHeight="1">
      <c r="A810" s="26"/>
      <c r="B810" s="26"/>
      <c r="C810" s="26"/>
      <c r="D810" s="26"/>
      <c r="E810" s="27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  <c r="AA810" s="26"/>
      <c r="AB810" s="26"/>
      <c r="AC810" s="26"/>
      <c r="AD810" s="26"/>
    </row>
    <row r="811" spans="1:30" ht="13.5" customHeight="1">
      <c r="A811" s="26"/>
      <c r="B811" s="26"/>
      <c r="C811" s="26"/>
      <c r="D811" s="26"/>
      <c r="E811" s="27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  <c r="AA811" s="26"/>
      <c r="AB811" s="26"/>
      <c r="AC811" s="26"/>
      <c r="AD811" s="26"/>
    </row>
    <row r="812" spans="1:30" ht="13.5" customHeight="1">
      <c r="A812" s="26"/>
      <c r="B812" s="26"/>
      <c r="C812" s="26"/>
      <c r="D812" s="26"/>
      <c r="E812" s="27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  <c r="AA812" s="26"/>
      <c r="AB812" s="26"/>
      <c r="AC812" s="26"/>
      <c r="AD812" s="26"/>
    </row>
    <row r="813" spans="1:30" ht="13.5" customHeight="1">
      <c r="A813" s="26"/>
      <c r="B813" s="26"/>
      <c r="C813" s="26"/>
      <c r="D813" s="26"/>
      <c r="E813" s="27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  <c r="AA813" s="26"/>
      <c r="AB813" s="26"/>
      <c r="AC813" s="26"/>
      <c r="AD813" s="26"/>
    </row>
    <row r="814" spans="1:30" ht="13.5" customHeight="1">
      <c r="A814" s="26"/>
      <c r="B814" s="26"/>
      <c r="C814" s="26"/>
      <c r="D814" s="26"/>
      <c r="E814" s="27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  <c r="AA814" s="26"/>
      <c r="AB814" s="26"/>
      <c r="AC814" s="26"/>
      <c r="AD814" s="26"/>
    </row>
    <row r="815" spans="1:30" ht="13.5" customHeight="1">
      <c r="A815" s="26"/>
      <c r="B815" s="26"/>
      <c r="C815" s="26"/>
      <c r="D815" s="26"/>
      <c r="E815" s="27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  <c r="AA815" s="26"/>
      <c r="AB815" s="26"/>
      <c r="AC815" s="26"/>
      <c r="AD815" s="26"/>
    </row>
    <row r="816" spans="1:30" ht="13.5" customHeight="1">
      <c r="A816" s="26"/>
      <c r="B816" s="26"/>
      <c r="C816" s="26"/>
      <c r="D816" s="26"/>
      <c r="E816" s="27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  <c r="AA816" s="26"/>
      <c r="AB816" s="26"/>
      <c r="AC816" s="26"/>
      <c r="AD816" s="26"/>
    </row>
    <row r="817" spans="1:30" ht="13.5" customHeight="1">
      <c r="A817" s="26"/>
      <c r="B817" s="26"/>
      <c r="C817" s="26"/>
      <c r="D817" s="26"/>
      <c r="E817" s="27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  <c r="AA817" s="26"/>
      <c r="AB817" s="26"/>
      <c r="AC817" s="26"/>
      <c r="AD817" s="26"/>
    </row>
    <row r="818" spans="1:30" ht="13.5" customHeight="1">
      <c r="A818" s="26"/>
      <c r="B818" s="26"/>
      <c r="C818" s="26"/>
      <c r="D818" s="26"/>
      <c r="E818" s="27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  <c r="AA818" s="26"/>
      <c r="AB818" s="26"/>
      <c r="AC818" s="26"/>
      <c r="AD818" s="26"/>
    </row>
    <row r="819" spans="1:30" ht="13.5" customHeight="1">
      <c r="A819" s="26"/>
      <c r="B819" s="26"/>
      <c r="C819" s="26"/>
      <c r="D819" s="26"/>
      <c r="E819" s="27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  <c r="AA819" s="26"/>
      <c r="AB819" s="26"/>
      <c r="AC819" s="26"/>
      <c r="AD819" s="26"/>
    </row>
    <row r="820" spans="1:30" ht="13.5" customHeight="1">
      <c r="A820" s="26"/>
      <c r="B820" s="26"/>
      <c r="C820" s="26"/>
      <c r="D820" s="26"/>
      <c r="E820" s="27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  <c r="AA820" s="26"/>
      <c r="AB820" s="26"/>
      <c r="AC820" s="26"/>
      <c r="AD820" s="26"/>
    </row>
    <row r="821" spans="1:30" ht="13.5" customHeight="1">
      <c r="A821" s="26"/>
      <c r="B821" s="26"/>
      <c r="C821" s="26"/>
      <c r="D821" s="26"/>
      <c r="E821" s="27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  <c r="AA821" s="26"/>
      <c r="AB821" s="26"/>
      <c r="AC821" s="26"/>
      <c r="AD821" s="26"/>
    </row>
    <row r="822" spans="1:30" ht="13.5" customHeight="1">
      <c r="A822" s="26"/>
      <c r="B822" s="26"/>
      <c r="C822" s="26"/>
      <c r="D822" s="26"/>
      <c r="E822" s="27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  <c r="AA822" s="26"/>
      <c r="AB822" s="26"/>
      <c r="AC822" s="26"/>
      <c r="AD822" s="26"/>
    </row>
    <row r="823" spans="1:30" ht="13.5" customHeight="1">
      <c r="A823" s="26"/>
      <c r="B823" s="26"/>
      <c r="C823" s="26"/>
      <c r="D823" s="26"/>
      <c r="E823" s="27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  <c r="AA823" s="26"/>
      <c r="AB823" s="26"/>
      <c r="AC823" s="26"/>
      <c r="AD823" s="26"/>
    </row>
    <row r="824" spans="1:30" ht="13.5" customHeight="1">
      <c r="A824" s="26"/>
      <c r="B824" s="26"/>
      <c r="C824" s="26"/>
      <c r="D824" s="26"/>
      <c r="E824" s="27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  <c r="AA824" s="26"/>
      <c r="AB824" s="26"/>
      <c r="AC824" s="26"/>
      <c r="AD824" s="26"/>
    </row>
    <row r="825" spans="1:30" ht="13.5" customHeight="1">
      <c r="A825" s="26"/>
      <c r="B825" s="26"/>
      <c r="C825" s="26"/>
      <c r="D825" s="26"/>
      <c r="E825" s="27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  <c r="AA825" s="26"/>
      <c r="AB825" s="26"/>
      <c r="AC825" s="26"/>
      <c r="AD825" s="26"/>
    </row>
    <row r="826" spans="1:30" ht="13.5" customHeight="1">
      <c r="A826" s="26"/>
      <c r="B826" s="26"/>
      <c r="C826" s="26"/>
      <c r="D826" s="26"/>
      <c r="E826" s="27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  <c r="AA826" s="26"/>
      <c r="AB826" s="26"/>
      <c r="AC826" s="26"/>
      <c r="AD826" s="26"/>
    </row>
    <row r="827" spans="1:30" ht="13.5" customHeight="1">
      <c r="A827" s="26"/>
      <c r="B827" s="26"/>
      <c r="C827" s="26"/>
      <c r="D827" s="26"/>
      <c r="E827" s="27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  <c r="AA827" s="26"/>
      <c r="AB827" s="26"/>
      <c r="AC827" s="26"/>
      <c r="AD827" s="26"/>
    </row>
    <row r="828" spans="1:30" ht="13.5" customHeight="1">
      <c r="A828" s="26"/>
      <c r="B828" s="26"/>
      <c r="C828" s="26"/>
      <c r="D828" s="26"/>
      <c r="E828" s="27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  <c r="AA828" s="26"/>
      <c r="AB828" s="26"/>
      <c r="AC828" s="26"/>
      <c r="AD828" s="26"/>
    </row>
    <row r="829" spans="1:30" ht="13.5" customHeight="1">
      <c r="A829" s="26"/>
      <c r="B829" s="26"/>
      <c r="C829" s="26"/>
      <c r="D829" s="26"/>
      <c r="E829" s="27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  <c r="AA829" s="26"/>
      <c r="AB829" s="26"/>
      <c r="AC829" s="26"/>
      <c r="AD829" s="26"/>
    </row>
    <row r="830" spans="1:30" ht="13.5" customHeight="1">
      <c r="A830" s="26"/>
      <c r="B830" s="26"/>
      <c r="C830" s="26"/>
      <c r="D830" s="26"/>
      <c r="E830" s="27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  <c r="AA830" s="26"/>
      <c r="AB830" s="26"/>
      <c r="AC830" s="26"/>
      <c r="AD830" s="26"/>
    </row>
    <row r="831" spans="1:30" ht="13.5" customHeight="1">
      <c r="A831" s="26"/>
      <c r="B831" s="26"/>
      <c r="C831" s="26"/>
      <c r="D831" s="26"/>
      <c r="E831" s="27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  <c r="AA831" s="26"/>
      <c r="AB831" s="26"/>
      <c r="AC831" s="26"/>
      <c r="AD831" s="26"/>
    </row>
    <row r="832" spans="1:30" ht="13.5" customHeight="1">
      <c r="A832" s="26"/>
      <c r="B832" s="26"/>
      <c r="C832" s="26"/>
      <c r="D832" s="26"/>
      <c r="E832" s="27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  <c r="AA832" s="26"/>
      <c r="AB832" s="26"/>
      <c r="AC832" s="26"/>
      <c r="AD832" s="26"/>
    </row>
    <row r="833" spans="1:30" ht="13.5" customHeight="1">
      <c r="A833" s="26"/>
      <c r="B833" s="26"/>
      <c r="C833" s="26"/>
      <c r="D833" s="26"/>
      <c r="E833" s="27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  <c r="AA833" s="26"/>
      <c r="AB833" s="26"/>
      <c r="AC833" s="26"/>
      <c r="AD833" s="26"/>
    </row>
    <row r="834" spans="1:30" ht="13.5" customHeight="1">
      <c r="A834" s="26"/>
      <c r="B834" s="26"/>
      <c r="C834" s="26"/>
      <c r="D834" s="26"/>
      <c r="E834" s="27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  <c r="AA834" s="26"/>
      <c r="AB834" s="26"/>
      <c r="AC834" s="26"/>
      <c r="AD834" s="26"/>
    </row>
    <row r="835" spans="1:30" ht="13.5" customHeight="1">
      <c r="A835" s="26"/>
      <c r="B835" s="26"/>
      <c r="C835" s="26"/>
      <c r="D835" s="26"/>
      <c r="E835" s="27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  <c r="AA835" s="26"/>
      <c r="AB835" s="26"/>
      <c r="AC835" s="26"/>
      <c r="AD835" s="26"/>
    </row>
    <row r="836" spans="1:30" ht="13.5" customHeight="1">
      <c r="A836" s="26"/>
      <c r="B836" s="26"/>
      <c r="C836" s="26"/>
      <c r="D836" s="26"/>
      <c r="E836" s="27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  <c r="AA836" s="26"/>
      <c r="AB836" s="26"/>
      <c r="AC836" s="26"/>
      <c r="AD836" s="26"/>
    </row>
    <row r="837" spans="1:30" ht="13.5" customHeight="1">
      <c r="A837" s="26"/>
      <c r="B837" s="26"/>
      <c r="C837" s="26"/>
      <c r="D837" s="26"/>
      <c r="E837" s="27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  <c r="AA837" s="26"/>
      <c r="AB837" s="26"/>
      <c r="AC837" s="26"/>
      <c r="AD837" s="26"/>
    </row>
    <row r="838" spans="1:30" ht="13.5" customHeight="1">
      <c r="A838" s="26"/>
      <c r="B838" s="26"/>
      <c r="C838" s="26"/>
      <c r="D838" s="26"/>
      <c r="E838" s="27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  <c r="AA838" s="26"/>
      <c r="AB838" s="26"/>
      <c r="AC838" s="26"/>
      <c r="AD838" s="26"/>
    </row>
    <row r="839" spans="1:30" ht="13.5" customHeight="1">
      <c r="A839" s="26"/>
      <c r="B839" s="26"/>
      <c r="C839" s="26"/>
      <c r="D839" s="26"/>
      <c r="E839" s="27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  <c r="AA839" s="26"/>
      <c r="AB839" s="26"/>
      <c r="AC839" s="26"/>
      <c r="AD839" s="26"/>
    </row>
    <row r="840" spans="1:30" ht="13.5" customHeight="1">
      <c r="A840" s="26"/>
      <c r="B840" s="26"/>
      <c r="C840" s="26"/>
      <c r="D840" s="26"/>
      <c r="E840" s="27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  <c r="AA840" s="26"/>
      <c r="AB840" s="26"/>
      <c r="AC840" s="26"/>
      <c r="AD840" s="26"/>
    </row>
    <row r="841" spans="1:30" ht="13.5" customHeight="1">
      <c r="A841" s="26"/>
      <c r="B841" s="26"/>
      <c r="C841" s="26"/>
      <c r="D841" s="26"/>
      <c r="E841" s="27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  <c r="AA841" s="26"/>
      <c r="AB841" s="26"/>
      <c r="AC841" s="26"/>
      <c r="AD841" s="26"/>
    </row>
    <row r="842" spans="1:30" ht="13.5" customHeight="1">
      <c r="A842" s="26"/>
      <c r="B842" s="26"/>
      <c r="C842" s="26"/>
      <c r="D842" s="26"/>
      <c r="E842" s="27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  <c r="AA842" s="26"/>
      <c r="AB842" s="26"/>
      <c r="AC842" s="26"/>
      <c r="AD842" s="26"/>
    </row>
    <row r="843" spans="1:30" ht="13.5" customHeight="1">
      <c r="A843" s="26"/>
      <c r="B843" s="26"/>
      <c r="C843" s="26"/>
      <c r="D843" s="26"/>
      <c r="E843" s="27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  <c r="AA843" s="26"/>
      <c r="AB843" s="26"/>
      <c r="AC843" s="26"/>
      <c r="AD843" s="26"/>
    </row>
    <row r="844" spans="1:30" ht="13.5" customHeight="1">
      <c r="A844" s="26"/>
      <c r="B844" s="26"/>
      <c r="C844" s="26"/>
      <c r="D844" s="26"/>
      <c r="E844" s="27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  <c r="AA844" s="26"/>
      <c r="AB844" s="26"/>
      <c r="AC844" s="26"/>
      <c r="AD844" s="26"/>
    </row>
    <row r="845" spans="1:30" ht="13.5" customHeight="1">
      <c r="A845" s="26"/>
      <c r="B845" s="26"/>
      <c r="C845" s="26"/>
      <c r="D845" s="26"/>
      <c r="E845" s="27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  <c r="AA845" s="26"/>
      <c r="AB845" s="26"/>
      <c r="AC845" s="26"/>
      <c r="AD845" s="26"/>
    </row>
    <row r="846" spans="1:30" ht="13.5" customHeight="1">
      <c r="A846" s="26"/>
      <c r="B846" s="26"/>
      <c r="C846" s="26"/>
      <c r="D846" s="26"/>
      <c r="E846" s="27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  <c r="AA846" s="26"/>
      <c r="AB846" s="26"/>
      <c r="AC846" s="26"/>
      <c r="AD846" s="26"/>
    </row>
    <row r="847" spans="1:30" ht="13.5" customHeight="1">
      <c r="A847" s="26"/>
      <c r="B847" s="26"/>
      <c r="C847" s="26"/>
      <c r="D847" s="26"/>
      <c r="E847" s="27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  <c r="AA847" s="26"/>
      <c r="AB847" s="26"/>
      <c r="AC847" s="26"/>
      <c r="AD847" s="26"/>
    </row>
    <row r="848" spans="1:30" ht="13.5" customHeight="1">
      <c r="A848" s="26"/>
      <c r="B848" s="26"/>
      <c r="C848" s="26"/>
      <c r="D848" s="26"/>
      <c r="E848" s="27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  <c r="AA848" s="26"/>
      <c r="AB848" s="26"/>
      <c r="AC848" s="26"/>
      <c r="AD848" s="26"/>
    </row>
    <row r="849" spans="1:30" ht="13.5" customHeight="1">
      <c r="A849" s="26"/>
      <c r="B849" s="26"/>
      <c r="C849" s="26"/>
      <c r="D849" s="26"/>
      <c r="E849" s="27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  <c r="AA849" s="26"/>
      <c r="AB849" s="26"/>
      <c r="AC849" s="26"/>
      <c r="AD849" s="26"/>
    </row>
    <row r="850" spans="1:30" ht="13.5" customHeight="1">
      <c r="A850" s="26"/>
      <c r="B850" s="26"/>
      <c r="C850" s="26"/>
      <c r="D850" s="26"/>
      <c r="E850" s="27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  <c r="AA850" s="26"/>
      <c r="AB850" s="26"/>
      <c r="AC850" s="26"/>
      <c r="AD850" s="26"/>
    </row>
    <row r="851" spans="1:30" ht="13.5" customHeight="1">
      <c r="A851" s="26"/>
      <c r="B851" s="26"/>
      <c r="C851" s="26"/>
      <c r="D851" s="26"/>
      <c r="E851" s="27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  <c r="AA851" s="26"/>
      <c r="AB851" s="26"/>
      <c r="AC851" s="26"/>
      <c r="AD851" s="26"/>
    </row>
    <row r="852" spans="1:30" ht="13.5" customHeight="1">
      <c r="A852" s="26"/>
      <c r="B852" s="26"/>
      <c r="C852" s="26"/>
      <c r="D852" s="26"/>
      <c r="E852" s="27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  <c r="AA852" s="26"/>
      <c r="AB852" s="26"/>
      <c r="AC852" s="26"/>
      <c r="AD852" s="26"/>
    </row>
    <row r="853" spans="1:30" ht="13.5" customHeight="1">
      <c r="A853" s="26"/>
      <c r="B853" s="26"/>
      <c r="C853" s="26"/>
      <c r="D853" s="26"/>
      <c r="E853" s="27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  <c r="AA853" s="26"/>
      <c r="AB853" s="26"/>
      <c r="AC853" s="26"/>
      <c r="AD853" s="26"/>
    </row>
    <row r="854" spans="1:30" ht="13.5" customHeight="1">
      <c r="A854" s="26"/>
      <c r="B854" s="26"/>
      <c r="C854" s="26"/>
      <c r="D854" s="26"/>
      <c r="E854" s="27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  <c r="AA854" s="26"/>
      <c r="AB854" s="26"/>
      <c r="AC854" s="26"/>
      <c r="AD854" s="26"/>
    </row>
    <row r="855" spans="1:30" ht="13.5" customHeight="1">
      <c r="A855" s="26"/>
      <c r="B855" s="26"/>
      <c r="C855" s="26"/>
      <c r="D855" s="26"/>
      <c r="E855" s="27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  <c r="AA855" s="26"/>
      <c r="AB855" s="26"/>
      <c r="AC855" s="26"/>
      <c r="AD855" s="26"/>
    </row>
    <row r="856" spans="1:30" ht="13.5" customHeight="1">
      <c r="A856" s="26"/>
      <c r="B856" s="26"/>
      <c r="C856" s="26"/>
      <c r="D856" s="26"/>
      <c r="E856" s="27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  <c r="AA856" s="26"/>
      <c r="AB856" s="26"/>
      <c r="AC856" s="26"/>
      <c r="AD856" s="26"/>
    </row>
    <row r="857" spans="1:30" ht="13.5" customHeight="1">
      <c r="A857" s="26"/>
      <c r="B857" s="26"/>
      <c r="C857" s="26"/>
      <c r="D857" s="26"/>
      <c r="E857" s="27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  <c r="AA857" s="26"/>
      <c r="AB857" s="26"/>
      <c r="AC857" s="26"/>
      <c r="AD857" s="26"/>
    </row>
    <row r="858" spans="1:30" ht="13.5" customHeight="1">
      <c r="A858" s="26"/>
      <c r="B858" s="26"/>
      <c r="C858" s="26"/>
      <c r="D858" s="26"/>
      <c r="E858" s="27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  <c r="AA858" s="26"/>
      <c r="AB858" s="26"/>
      <c r="AC858" s="26"/>
      <c r="AD858" s="26"/>
    </row>
    <row r="859" spans="1:30" ht="13.5" customHeight="1">
      <c r="A859" s="26"/>
      <c r="B859" s="26"/>
      <c r="C859" s="26"/>
      <c r="D859" s="26"/>
      <c r="E859" s="27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  <c r="AA859" s="26"/>
      <c r="AB859" s="26"/>
      <c r="AC859" s="26"/>
      <c r="AD859" s="26"/>
    </row>
    <row r="860" spans="1:30" ht="13.5" customHeight="1">
      <c r="A860" s="26"/>
      <c r="B860" s="26"/>
      <c r="C860" s="26"/>
      <c r="D860" s="26"/>
      <c r="E860" s="27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  <c r="AA860" s="26"/>
      <c r="AB860" s="26"/>
      <c r="AC860" s="26"/>
      <c r="AD860" s="26"/>
    </row>
    <row r="861" spans="1:30" ht="13.5" customHeight="1">
      <c r="A861" s="26"/>
      <c r="B861" s="26"/>
      <c r="C861" s="26"/>
      <c r="D861" s="26"/>
      <c r="E861" s="27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  <c r="AA861" s="26"/>
      <c r="AB861" s="26"/>
      <c r="AC861" s="26"/>
      <c r="AD861" s="26"/>
    </row>
    <row r="862" spans="1:30" ht="13.5" customHeight="1">
      <c r="A862" s="26"/>
      <c r="B862" s="26"/>
      <c r="C862" s="26"/>
      <c r="D862" s="26"/>
      <c r="E862" s="27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  <c r="AA862" s="26"/>
      <c r="AB862" s="26"/>
      <c r="AC862" s="26"/>
      <c r="AD862" s="26"/>
    </row>
    <row r="863" spans="1:30" ht="13.5" customHeight="1">
      <c r="A863" s="26"/>
      <c r="B863" s="26"/>
      <c r="C863" s="26"/>
      <c r="D863" s="26"/>
      <c r="E863" s="27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  <c r="AA863" s="26"/>
      <c r="AB863" s="26"/>
      <c r="AC863" s="26"/>
      <c r="AD863" s="26"/>
    </row>
    <row r="864" spans="1:30" ht="13.5" customHeight="1">
      <c r="A864" s="26"/>
      <c r="B864" s="26"/>
      <c r="C864" s="26"/>
      <c r="D864" s="26"/>
      <c r="E864" s="27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  <c r="AA864" s="26"/>
      <c r="AB864" s="26"/>
      <c r="AC864" s="26"/>
      <c r="AD864" s="26"/>
    </row>
    <row r="865" spans="1:30" ht="13.5" customHeight="1">
      <c r="A865" s="26"/>
      <c r="B865" s="26"/>
      <c r="C865" s="26"/>
      <c r="D865" s="26"/>
      <c r="E865" s="27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  <c r="AA865" s="26"/>
      <c r="AB865" s="26"/>
      <c r="AC865" s="26"/>
      <c r="AD865" s="26"/>
    </row>
    <row r="866" spans="1:30" ht="13.5" customHeight="1">
      <c r="A866" s="26"/>
      <c r="B866" s="26"/>
      <c r="C866" s="26"/>
      <c r="D866" s="26"/>
      <c r="E866" s="27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  <c r="AA866" s="26"/>
      <c r="AB866" s="26"/>
      <c r="AC866" s="26"/>
      <c r="AD866" s="26"/>
    </row>
    <row r="867" spans="1:30" ht="13.5" customHeight="1">
      <c r="A867" s="26"/>
      <c r="B867" s="26"/>
      <c r="C867" s="26"/>
      <c r="D867" s="26"/>
      <c r="E867" s="27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  <c r="AA867" s="26"/>
      <c r="AB867" s="26"/>
      <c r="AC867" s="26"/>
      <c r="AD867" s="26"/>
    </row>
    <row r="868" spans="1:30" ht="13.5" customHeight="1">
      <c r="A868" s="26"/>
      <c r="B868" s="26"/>
      <c r="C868" s="26"/>
      <c r="D868" s="26"/>
      <c r="E868" s="27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  <c r="AA868" s="26"/>
      <c r="AB868" s="26"/>
      <c r="AC868" s="26"/>
      <c r="AD868" s="26"/>
    </row>
    <row r="869" spans="1:30" ht="13.5" customHeight="1">
      <c r="A869" s="26"/>
      <c r="B869" s="26"/>
      <c r="C869" s="26"/>
      <c r="D869" s="26"/>
      <c r="E869" s="27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  <c r="AA869" s="26"/>
      <c r="AB869" s="26"/>
      <c r="AC869" s="26"/>
      <c r="AD869" s="26"/>
    </row>
    <row r="870" spans="1:30" ht="13.5" customHeight="1">
      <c r="A870" s="26"/>
      <c r="B870" s="26"/>
      <c r="C870" s="26"/>
      <c r="D870" s="26"/>
      <c r="E870" s="27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  <c r="AA870" s="26"/>
      <c r="AB870" s="26"/>
      <c r="AC870" s="26"/>
      <c r="AD870" s="26"/>
    </row>
    <row r="871" spans="1:30" ht="13.5" customHeight="1">
      <c r="A871" s="26"/>
      <c r="B871" s="26"/>
      <c r="C871" s="26"/>
      <c r="D871" s="26"/>
      <c r="E871" s="27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  <c r="AA871" s="26"/>
      <c r="AB871" s="26"/>
      <c r="AC871" s="26"/>
      <c r="AD871" s="26"/>
    </row>
    <row r="872" spans="1:30" ht="13.5" customHeight="1">
      <c r="A872" s="26"/>
      <c r="B872" s="26"/>
      <c r="C872" s="26"/>
      <c r="D872" s="26"/>
      <c r="E872" s="27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  <c r="AA872" s="26"/>
      <c r="AB872" s="26"/>
      <c r="AC872" s="26"/>
      <c r="AD872" s="26"/>
    </row>
    <row r="873" spans="1:30" ht="13.5" customHeight="1">
      <c r="A873" s="26"/>
      <c r="B873" s="26"/>
      <c r="C873" s="26"/>
      <c r="D873" s="26"/>
      <c r="E873" s="27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  <c r="AA873" s="26"/>
      <c r="AB873" s="26"/>
      <c r="AC873" s="26"/>
      <c r="AD873" s="26"/>
    </row>
    <row r="874" spans="1:30" ht="13.5" customHeight="1">
      <c r="A874" s="26"/>
      <c r="B874" s="26"/>
      <c r="C874" s="26"/>
      <c r="D874" s="26"/>
      <c r="E874" s="27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  <c r="AA874" s="26"/>
      <c r="AB874" s="26"/>
      <c r="AC874" s="26"/>
      <c r="AD874" s="26"/>
    </row>
    <row r="875" spans="1:30" ht="13.5" customHeight="1">
      <c r="A875" s="26"/>
      <c r="B875" s="26"/>
      <c r="C875" s="26"/>
      <c r="D875" s="26"/>
      <c r="E875" s="27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  <c r="AA875" s="26"/>
      <c r="AB875" s="26"/>
      <c r="AC875" s="26"/>
      <c r="AD875" s="26"/>
    </row>
    <row r="876" spans="1:30" ht="13.5" customHeight="1">
      <c r="A876" s="26"/>
      <c r="B876" s="26"/>
      <c r="C876" s="26"/>
      <c r="D876" s="26"/>
      <c r="E876" s="27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  <c r="AA876" s="26"/>
      <c r="AB876" s="26"/>
      <c r="AC876" s="26"/>
      <c r="AD876" s="26"/>
    </row>
    <row r="877" spans="1:30" ht="13.5" customHeight="1">
      <c r="A877" s="26"/>
      <c r="B877" s="26"/>
      <c r="C877" s="26"/>
      <c r="D877" s="26"/>
      <c r="E877" s="27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  <c r="AA877" s="26"/>
      <c r="AB877" s="26"/>
      <c r="AC877" s="26"/>
      <c r="AD877" s="26"/>
    </row>
    <row r="878" spans="1:30" ht="13.5" customHeight="1">
      <c r="A878" s="26"/>
      <c r="B878" s="26"/>
      <c r="C878" s="26"/>
      <c r="D878" s="26"/>
      <c r="E878" s="27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  <c r="AA878" s="26"/>
      <c r="AB878" s="26"/>
      <c r="AC878" s="26"/>
      <c r="AD878" s="26"/>
    </row>
    <row r="879" spans="1:30" ht="13.5" customHeight="1">
      <c r="A879" s="26"/>
      <c r="B879" s="26"/>
      <c r="C879" s="26"/>
      <c r="D879" s="26"/>
      <c r="E879" s="27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  <c r="AA879" s="26"/>
      <c r="AB879" s="26"/>
      <c r="AC879" s="26"/>
      <c r="AD879" s="26"/>
    </row>
    <row r="880" spans="1:30" ht="13.5" customHeight="1">
      <c r="A880" s="26"/>
      <c r="B880" s="26"/>
      <c r="C880" s="26"/>
      <c r="D880" s="26"/>
      <c r="E880" s="27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  <c r="AA880" s="26"/>
      <c r="AB880" s="26"/>
      <c r="AC880" s="26"/>
      <c r="AD880" s="26"/>
    </row>
    <row r="881" spans="1:30" ht="13.5" customHeight="1">
      <c r="A881" s="26"/>
      <c r="B881" s="26"/>
      <c r="C881" s="26"/>
      <c r="D881" s="26"/>
      <c r="E881" s="27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  <c r="AA881" s="26"/>
      <c r="AB881" s="26"/>
      <c r="AC881" s="26"/>
      <c r="AD881" s="26"/>
    </row>
    <row r="882" spans="1:30" ht="13.5" customHeight="1">
      <c r="A882" s="26"/>
      <c r="B882" s="26"/>
      <c r="C882" s="26"/>
      <c r="D882" s="26"/>
      <c r="E882" s="27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  <c r="AA882" s="26"/>
      <c r="AB882" s="26"/>
      <c r="AC882" s="26"/>
      <c r="AD882" s="26"/>
    </row>
    <row r="883" spans="1:30" ht="13.5" customHeight="1">
      <c r="A883" s="26"/>
      <c r="B883" s="26"/>
      <c r="C883" s="26"/>
      <c r="D883" s="26"/>
      <c r="E883" s="27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  <c r="AA883" s="26"/>
      <c r="AB883" s="26"/>
      <c r="AC883" s="26"/>
      <c r="AD883" s="26"/>
    </row>
    <row r="884" spans="1:30" ht="13.5" customHeight="1">
      <c r="A884" s="26"/>
      <c r="B884" s="26"/>
      <c r="C884" s="26"/>
      <c r="D884" s="26"/>
      <c r="E884" s="27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  <c r="AA884" s="26"/>
      <c r="AB884" s="26"/>
      <c r="AC884" s="26"/>
      <c r="AD884" s="26"/>
    </row>
    <row r="885" spans="1:30" ht="13.5" customHeight="1">
      <c r="A885" s="26"/>
      <c r="B885" s="26"/>
      <c r="C885" s="26"/>
      <c r="D885" s="26"/>
      <c r="E885" s="27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  <c r="AA885" s="26"/>
      <c r="AB885" s="26"/>
      <c r="AC885" s="26"/>
      <c r="AD885" s="26"/>
    </row>
    <row r="886" spans="1:30" ht="13.5" customHeight="1">
      <c r="A886" s="26"/>
      <c r="B886" s="26"/>
      <c r="C886" s="26"/>
      <c r="D886" s="26"/>
      <c r="E886" s="27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  <c r="AA886" s="26"/>
      <c r="AB886" s="26"/>
      <c r="AC886" s="26"/>
      <c r="AD886" s="26"/>
    </row>
    <row r="887" spans="1:30" ht="13.5" customHeight="1">
      <c r="A887" s="26"/>
      <c r="B887" s="26"/>
      <c r="C887" s="26"/>
      <c r="D887" s="26"/>
      <c r="E887" s="27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  <c r="AA887" s="26"/>
      <c r="AB887" s="26"/>
      <c r="AC887" s="26"/>
      <c r="AD887" s="26"/>
    </row>
    <row r="888" spans="1:30" ht="13.5" customHeight="1">
      <c r="A888" s="26"/>
      <c r="B888" s="26"/>
      <c r="C888" s="26"/>
      <c r="D888" s="26"/>
      <c r="E888" s="27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  <c r="AA888" s="26"/>
      <c r="AB888" s="26"/>
      <c r="AC888" s="26"/>
      <c r="AD888" s="26"/>
    </row>
    <row r="889" spans="1:30" ht="13.5" customHeight="1">
      <c r="A889" s="26"/>
      <c r="B889" s="26"/>
      <c r="C889" s="26"/>
      <c r="D889" s="26"/>
      <c r="E889" s="27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  <c r="AA889" s="26"/>
      <c r="AB889" s="26"/>
      <c r="AC889" s="26"/>
      <c r="AD889" s="26"/>
    </row>
    <row r="890" spans="1:30" ht="13.5" customHeight="1">
      <c r="A890" s="26"/>
      <c r="B890" s="26"/>
      <c r="C890" s="26"/>
      <c r="D890" s="26"/>
      <c r="E890" s="27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  <c r="AA890" s="26"/>
      <c r="AB890" s="26"/>
      <c r="AC890" s="26"/>
      <c r="AD890" s="26"/>
    </row>
    <row r="891" spans="1:30" ht="13.5" customHeight="1">
      <c r="A891" s="26"/>
      <c r="B891" s="26"/>
      <c r="C891" s="26"/>
      <c r="D891" s="26"/>
      <c r="E891" s="27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  <c r="AA891" s="26"/>
      <c r="AB891" s="26"/>
      <c r="AC891" s="26"/>
      <c r="AD891" s="26"/>
    </row>
    <row r="892" spans="1:30" ht="13.5" customHeight="1">
      <c r="A892" s="26"/>
      <c r="B892" s="26"/>
      <c r="C892" s="26"/>
      <c r="D892" s="26"/>
      <c r="E892" s="27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  <c r="AA892" s="26"/>
      <c r="AB892" s="26"/>
      <c r="AC892" s="26"/>
      <c r="AD892" s="26"/>
    </row>
    <row r="893" spans="1:30" ht="13.5" customHeight="1">
      <c r="A893" s="26"/>
      <c r="B893" s="26"/>
      <c r="C893" s="26"/>
      <c r="D893" s="26"/>
      <c r="E893" s="27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  <c r="AA893" s="26"/>
      <c r="AB893" s="26"/>
      <c r="AC893" s="26"/>
      <c r="AD893" s="26"/>
    </row>
    <row r="894" spans="1:30" ht="13.5" customHeight="1">
      <c r="A894" s="26"/>
      <c r="B894" s="26"/>
      <c r="C894" s="26"/>
      <c r="D894" s="26"/>
      <c r="E894" s="27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  <c r="AA894" s="26"/>
      <c r="AB894" s="26"/>
      <c r="AC894" s="26"/>
      <c r="AD894" s="26"/>
    </row>
    <row r="895" spans="1:30" ht="13.5" customHeight="1">
      <c r="A895" s="26"/>
      <c r="B895" s="26"/>
      <c r="C895" s="26"/>
      <c r="D895" s="26"/>
      <c r="E895" s="27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  <c r="AA895" s="26"/>
      <c r="AB895" s="26"/>
      <c r="AC895" s="26"/>
      <c r="AD895" s="26"/>
    </row>
    <row r="896" spans="1:30" ht="13.5" customHeight="1">
      <c r="A896" s="26"/>
      <c r="B896" s="26"/>
      <c r="C896" s="26"/>
      <c r="D896" s="26"/>
      <c r="E896" s="27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  <c r="AA896" s="26"/>
      <c r="AB896" s="26"/>
      <c r="AC896" s="26"/>
      <c r="AD896" s="26"/>
    </row>
    <row r="897" spans="1:30" ht="13.5" customHeight="1">
      <c r="A897" s="26"/>
      <c r="B897" s="26"/>
      <c r="C897" s="26"/>
      <c r="D897" s="26"/>
      <c r="E897" s="27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  <c r="AA897" s="26"/>
      <c r="AB897" s="26"/>
      <c r="AC897" s="26"/>
      <c r="AD897" s="26"/>
    </row>
    <row r="898" spans="1:30" ht="13.5" customHeight="1">
      <c r="A898" s="26"/>
      <c r="B898" s="26"/>
      <c r="C898" s="26"/>
      <c r="D898" s="26"/>
      <c r="E898" s="27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  <c r="AA898" s="26"/>
      <c r="AB898" s="26"/>
      <c r="AC898" s="26"/>
      <c r="AD898" s="26"/>
    </row>
    <row r="899" spans="1:30" ht="13.5" customHeight="1">
      <c r="A899" s="26"/>
      <c r="B899" s="26"/>
      <c r="C899" s="26"/>
      <c r="D899" s="26"/>
      <c r="E899" s="27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  <c r="AA899" s="26"/>
      <c r="AB899" s="26"/>
      <c r="AC899" s="26"/>
      <c r="AD899" s="26"/>
    </row>
    <row r="900" spans="1:30" ht="13.5" customHeight="1">
      <c r="A900" s="26"/>
      <c r="B900" s="26"/>
      <c r="C900" s="26"/>
      <c r="D900" s="26"/>
      <c r="E900" s="27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  <c r="AA900" s="26"/>
      <c r="AB900" s="26"/>
      <c r="AC900" s="26"/>
      <c r="AD900" s="26"/>
    </row>
    <row r="901" spans="1:30" ht="13.5" customHeight="1">
      <c r="A901" s="26"/>
      <c r="B901" s="26"/>
      <c r="C901" s="26"/>
      <c r="D901" s="26"/>
      <c r="E901" s="27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  <c r="AA901" s="26"/>
      <c r="AB901" s="26"/>
      <c r="AC901" s="26"/>
      <c r="AD901" s="26"/>
    </row>
    <row r="902" spans="1:30" ht="13.5" customHeight="1">
      <c r="A902" s="26"/>
      <c r="B902" s="26"/>
      <c r="C902" s="26"/>
      <c r="D902" s="26"/>
      <c r="E902" s="27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  <c r="AA902" s="26"/>
      <c r="AB902" s="26"/>
      <c r="AC902" s="26"/>
      <c r="AD902" s="26"/>
    </row>
    <row r="903" spans="1:30" ht="13.5" customHeight="1">
      <c r="A903" s="26"/>
      <c r="B903" s="26"/>
      <c r="C903" s="26"/>
      <c r="D903" s="26"/>
      <c r="E903" s="27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  <c r="AA903" s="26"/>
      <c r="AB903" s="26"/>
      <c r="AC903" s="26"/>
      <c r="AD903" s="26"/>
    </row>
    <row r="904" spans="1:30" ht="13.5" customHeight="1">
      <c r="A904" s="26"/>
      <c r="B904" s="26"/>
      <c r="C904" s="26"/>
      <c r="D904" s="26"/>
      <c r="E904" s="27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  <c r="AA904" s="26"/>
      <c r="AB904" s="26"/>
      <c r="AC904" s="26"/>
      <c r="AD904" s="26"/>
    </row>
    <row r="905" spans="1:30" ht="13.5" customHeight="1">
      <c r="A905" s="26"/>
      <c r="B905" s="26"/>
      <c r="C905" s="26"/>
      <c r="D905" s="26"/>
      <c r="E905" s="27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  <c r="AA905" s="26"/>
      <c r="AB905" s="26"/>
      <c r="AC905" s="26"/>
      <c r="AD905" s="26"/>
    </row>
    <row r="906" spans="1:30" ht="13.5" customHeight="1">
      <c r="A906" s="26"/>
      <c r="B906" s="26"/>
      <c r="C906" s="26"/>
      <c r="D906" s="26"/>
      <c r="E906" s="27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  <c r="AA906" s="26"/>
      <c r="AB906" s="26"/>
      <c r="AC906" s="26"/>
      <c r="AD906" s="26"/>
    </row>
    <row r="907" spans="1:30" ht="13.5" customHeight="1">
      <c r="A907" s="26"/>
      <c r="B907" s="26"/>
      <c r="C907" s="26"/>
      <c r="D907" s="26"/>
      <c r="E907" s="27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  <c r="AA907" s="26"/>
      <c r="AB907" s="26"/>
      <c r="AC907" s="26"/>
      <c r="AD907" s="26"/>
    </row>
    <row r="908" spans="1:30" ht="13.5" customHeight="1">
      <c r="A908" s="26"/>
      <c r="B908" s="26"/>
      <c r="C908" s="26"/>
      <c r="D908" s="26"/>
      <c r="E908" s="27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  <c r="AA908" s="26"/>
      <c r="AB908" s="26"/>
      <c r="AC908" s="26"/>
      <c r="AD908" s="26"/>
    </row>
    <row r="909" spans="1:30" ht="13.5" customHeight="1">
      <c r="A909" s="26"/>
      <c r="B909" s="26"/>
      <c r="C909" s="26"/>
      <c r="D909" s="26"/>
      <c r="E909" s="27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  <c r="AA909" s="26"/>
      <c r="AB909" s="26"/>
      <c r="AC909" s="26"/>
      <c r="AD909" s="26"/>
    </row>
    <row r="910" spans="1:30" ht="13.5" customHeight="1">
      <c r="A910" s="26"/>
      <c r="B910" s="26"/>
      <c r="C910" s="26"/>
      <c r="D910" s="26"/>
      <c r="E910" s="27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  <c r="AA910" s="26"/>
      <c r="AB910" s="26"/>
      <c r="AC910" s="26"/>
      <c r="AD910" s="26"/>
    </row>
    <row r="911" spans="1:30" ht="13.5" customHeight="1">
      <c r="A911" s="26"/>
      <c r="B911" s="26"/>
      <c r="C911" s="26"/>
      <c r="D911" s="26"/>
      <c r="E911" s="27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  <c r="AA911" s="26"/>
      <c r="AB911" s="26"/>
      <c r="AC911" s="26"/>
      <c r="AD911" s="26"/>
    </row>
    <row r="912" spans="1:30" ht="13.5" customHeight="1">
      <c r="A912" s="26"/>
      <c r="B912" s="26"/>
      <c r="C912" s="26"/>
      <c r="D912" s="26"/>
      <c r="E912" s="27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  <c r="AA912" s="26"/>
      <c r="AB912" s="26"/>
      <c r="AC912" s="26"/>
      <c r="AD912" s="26"/>
    </row>
    <row r="913" spans="1:30" ht="13.5" customHeight="1">
      <c r="A913" s="26"/>
      <c r="B913" s="26"/>
      <c r="C913" s="26"/>
      <c r="D913" s="26"/>
      <c r="E913" s="27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  <c r="AA913" s="26"/>
      <c r="AB913" s="26"/>
      <c r="AC913" s="26"/>
      <c r="AD913" s="26"/>
    </row>
    <row r="914" spans="1:30" ht="13.5" customHeight="1">
      <c r="A914" s="26"/>
      <c r="B914" s="26"/>
      <c r="C914" s="26"/>
      <c r="D914" s="26"/>
      <c r="E914" s="27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  <c r="AA914" s="26"/>
      <c r="AB914" s="26"/>
      <c r="AC914" s="26"/>
      <c r="AD914" s="26"/>
    </row>
    <row r="915" spans="1:30" ht="13.5" customHeight="1">
      <c r="A915" s="26"/>
      <c r="B915" s="26"/>
      <c r="C915" s="26"/>
      <c r="D915" s="26"/>
      <c r="E915" s="27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  <c r="AA915" s="26"/>
      <c r="AB915" s="26"/>
      <c r="AC915" s="26"/>
      <c r="AD915" s="26"/>
    </row>
    <row r="916" spans="1:30" ht="13.5" customHeight="1">
      <c r="A916" s="26"/>
      <c r="B916" s="26"/>
      <c r="C916" s="26"/>
      <c r="D916" s="26"/>
      <c r="E916" s="27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  <c r="AA916" s="26"/>
      <c r="AB916" s="26"/>
      <c r="AC916" s="26"/>
      <c r="AD916" s="26"/>
    </row>
    <row r="917" spans="1:30" ht="13.5" customHeight="1">
      <c r="A917" s="26"/>
      <c r="B917" s="26"/>
      <c r="C917" s="26"/>
      <c r="D917" s="26"/>
      <c r="E917" s="27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  <c r="AA917" s="26"/>
      <c r="AB917" s="26"/>
      <c r="AC917" s="26"/>
      <c r="AD917" s="26"/>
    </row>
    <row r="918" spans="1:30" ht="13.5" customHeight="1">
      <c r="A918" s="26"/>
      <c r="B918" s="26"/>
      <c r="C918" s="26"/>
      <c r="D918" s="26"/>
      <c r="E918" s="27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  <c r="AA918" s="26"/>
      <c r="AB918" s="26"/>
      <c r="AC918" s="26"/>
      <c r="AD918" s="26"/>
    </row>
    <row r="919" spans="1:30" ht="13.5" customHeight="1">
      <c r="A919" s="26"/>
      <c r="B919" s="26"/>
      <c r="C919" s="26"/>
      <c r="D919" s="26"/>
      <c r="E919" s="27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  <c r="AA919" s="26"/>
      <c r="AB919" s="26"/>
      <c r="AC919" s="26"/>
      <c r="AD919" s="26"/>
    </row>
    <row r="920" spans="1:30" ht="13.5" customHeight="1">
      <c r="A920" s="26"/>
      <c r="B920" s="26"/>
      <c r="C920" s="26"/>
      <c r="D920" s="26"/>
      <c r="E920" s="27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  <c r="AA920" s="26"/>
      <c r="AB920" s="26"/>
      <c r="AC920" s="26"/>
      <c r="AD920" s="26"/>
    </row>
    <row r="921" spans="1:30" ht="13.5" customHeight="1">
      <c r="A921" s="26"/>
      <c r="B921" s="26"/>
      <c r="C921" s="26"/>
      <c r="D921" s="26"/>
      <c r="E921" s="27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  <c r="AA921" s="26"/>
      <c r="AB921" s="26"/>
      <c r="AC921" s="26"/>
      <c r="AD921" s="26"/>
    </row>
    <row r="922" spans="1:30" ht="13.5" customHeight="1">
      <c r="A922" s="26"/>
      <c r="B922" s="26"/>
      <c r="C922" s="26"/>
      <c r="D922" s="26"/>
      <c r="E922" s="27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  <c r="AA922" s="26"/>
      <c r="AB922" s="26"/>
      <c r="AC922" s="26"/>
      <c r="AD922" s="26"/>
    </row>
    <row r="923" spans="1:30" ht="13.5" customHeight="1">
      <c r="A923" s="26"/>
      <c r="B923" s="26"/>
      <c r="C923" s="26"/>
      <c r="D923" s="26"/>
      <c r="E923" s="27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  <c r="AA923" s="26"/>
      <c r="AB923" s="26"/>
      <c r="AC923" s="26"/>
      <c r="AD923" s="26"/>
    </row>
    <row r="924" spans="1:30" ht="13.5" customHeight="1">
      <c r="A924" s="26"/>
      <c r="B924" s="26"/>
      <c r="C924" s="26"/>
      <c r="D924" s="26"/>
      <c r="E924" s="27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  <c r="AA924" s="26"/>
      <c r="AB924" s="26"/>
      <c r="AC924" s="26"/>
      <c r="AD924" s="26"/>
    </row>
    <row r="925" spans="1:30" ht="13.5" customHeight="1">
      <c r="A925" s="26"/>
      <c r="B925" s="26"/>
      <c r="C925" s="26"/>
      <c r="D925" s="26"/>
      <c r="E925" s="27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  <c r="AA925" s="26"/>
      <c r="AB925" s="26"/>
      <c r="AC925" s="26"/>
      <c r="AD925" s="26"/>
    </row>
    <row r="926" spans="1:30" ht="13.5" customHeight="1">
      <c r="A926" s="26"/>
      <c r="B926" s="26"/>
      <c r="C926" s="26"/>
      <c r="D926" s="26"/>
      <c r="E926" s="27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  <c r="AA926" s="26"/>
      <c r="AB926" s="26"/>
      <c r="AC926" s="26"/>
      <c r="AD926" s="26"/>
    </row>
    <row r="927" spans="1:30" ht="13.5" customHeight="1">
      <c r="A927" s="26"/>
      <c r="B927" s="26"/>
      <c r="C927" s="26"/>
      <c r="D927" s="26"/>
      <c r="E927" s="27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  <c r="AA927" s="26"/>
      <c r="AB927" s="26"/>
      <c r="AC927" s="26"/>
      <c r="AD927" s="26"/>
    </row>
    <row r="928" spans="1:30" ht="13.5" customHeight="1">
      <c r="A928" s="26"/>
      <c r="B928" s="26"/>
      <c r="C928" s="26"/>
      <c r="D928" s="26"/>
      <c r="E928" s="27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  <c r="AA928" s="26"/>
      <c r="AB928" s="26"/>
      <c r="AC928" s="26"/>
      <c r="AD928" s="26"/>
    </row>
    <row r="929" spans="1:30" ht="13.5" customHeight="1">
      <c r="A929" s="26"/>
      <c r="B929" s="26"/>
      <c r="C929" s="26"/>
      <c r="D929" s="26"/>
      <c r="E929" s="27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  <c r="AA929" s="26"/>
      <c r="AB929" s="26"/>
      <c r="AC929" s="26"/>
      <c r="AD929" s="26"/>
    </row>
    <row r="930" spans="1:30" ht="13.5" customHeight="1">
      <c r="A930" s="26"/>
      <c r="B930" s="26"/>
      <c r="C930" s="26"/>
      <c r="D930" s="26"/>
      <c r="E930" s="27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  <c r="AA930" s="26"/>
      <c r="AB930" s="26"/>
      <c r="AC930" s="26"/>
      <c r="AD930" s="26"/>
    </row>
    <row r="931" spans="1:30" ht="13.5" customHeight="1">
      <c r="A931" s="26"/>
      <c r="B931" s="26"/>
      <c r="C931" s="26"/>
      <c r="D931" s="26"/>
      <c r="E931" s="27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  <c r="AA931" s="26"/>
      <c r="AB931" s="26"/>
      <c r="AC931" s="26"/>
      <c r="AD931" s="26"/>
    </row>
    <row r="932" spans="1:30" ht="13.5" customHeight="1">
      <c r="A932" s="26"/>
      <c r="B932" s="26"/>
      <c r="C932" s="26"/>
      <c r="D932" s="26"/>
      <c r="E932" s="27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  <c r="AA932" s="26"/>
      <c r="AB932" s="26"/>
      <c r="AC932" s="26"/>
      <c r="AD932" s="26"/>
    </row>
    <row r="933" spans="1:30" ht="13.5" customHeight="1">
      <c r="A933" s="26"/>
      <c r="B933" s="26"/>
      <c r="C933" s="26"/>
      <c r="D933" s="26"/>
      <c r="E933" s="27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  <c r="AA933" s="26"/>
      <c r="AB933" s="26"/>
      <c r="AC933" s="26"/>
      <c r="AD933" s="26"/>
    </row>
    <row r="934" spans="1:30" ht="13.5" customHeight="1">
      <c r="A934" s="26"/>
      <c r="B934" s="26"/>
      <c r="C934" s="26"/>
      <c r="D934" s="26"/>
      <c r="E934" s="27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  <c r="AA934" s="26"/>
      <c r="AB934" s="26"/>
      <c r="AC934" s="26"/>
      <c r="AD934" s="26"/>
    </row>
    <row r="935" spans="1:30" ht="13.5" customHeight="1">
      <c r="A935" s="26"/>
      <c r="B935" s="26"/>
      <c r="C935" s="26"/>
      <c r="D935" s="26"/>
      <c r="E935" s="27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  <c r="AA935" s="26"/>
      <c r="AB935" s="26"/>
      <c r="AC935" s="26"/>
      <c r="AD935" s="26"/>
    </row>
    <row r="936" spans="1:30" ht="13.5" customHeight="1">
      <c r="A936" s="26"/>
      <c r="B936" s="26"/>
      <c r="C936" s="26"/>
      <c r="D936" s="26"/>
      <c r="E936" s="27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  <c r="AA936" s="26"/>
      <c r="AB936" s="26"/>
      <c r="AC936" s="26"/>
      <c r="AD936" s="26"/>
    </row>
    <row r="937" spans="1:30" ht="13.5" customHeight="1">
      <c r="A937" s="26"/>
      <c r="B937" s="26"/>
      <c r="C937" s="26"/>
      <c r="D937" s="26"/>
      <c r="E937" s="27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  <c r="AA937" s="26"/>
      <c r="AB937" s="26"/>
      <c r="AC937" s="26"/>
      <c r="AD937" s="26"/>
    </row>
    <row r="938" spans="1:30" ht="13.5" customHeight="1">
      <c r="A938" s="26"/>
      <c r="B938" s="26"/>
      <c r="C938" s="26"/>
      <c r="D938" s="26"/>
      <c r="E938" s="27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  <c r="AA938" s="26"/>
      <c r="AB938" s="26"/>
      <c r="AC938" s="26"/>
      <c r="AD938" s="26"/>
    </row>
    <row r="939" spans="1:30" ht="13.5" customHeight="1">
      <c r="A939" s="26"/>
      <c r="B939" s="26"/>
      <c r="C939" s="26"/>
      <c r="D939" s="26"/>
      <c r="E939" s="27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  <c r="AA939" s="26"/>
      <c r="AB939" s="26"/>
      <c r="AC939" s="26"/>
      <c r="AD939" s="26"/>
    </row>
    <row r="940" spans="1:30" ht="13.5" customHeight="1">
      <c r="A940" s="26"/>
      <c r="B940" s="26"/>
      <c r="C940" s="26"/>
      <c r="D940" s="26"/>
      <c r="E940" s="27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  <c r="AA940" s="26"/>
      <c r="AB940" s="26"/>
      <c r="AC940" s="26"/>
      <c r="AD940" s="26"/>
    </row>
    <row r="941" spans="1:30" ht="13.5" customHeight="1">
      <c r="A941" s="26"/>
      <c r="B941" s="26"/>
      <c r="C941" s="26"/>
      <c r="D941" s="26"/>
      <c r="E941" s="27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  <c r="AA941" s="26"/>
      <c r="AB941" s="26"/>
      <c r="AC941" s="26"/>
      <c r="AD941" s="26"/>
    </row>
    <row r="942" spans="1:30" ht="13.5" customHeight="1">
      <c r="A942" s="26"/>
      <c r="B942" s="26"/>
      <c r="C942" s="26"/>
      <c r="D942" s="26"/>
      <c r="E942" s="27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  <c r="AA942" s="26"/>
      <c r="AB942" s="26"/>
      <c r="AC942" s="26"/>
      <c r="AD942" s="26"/>
    </row>
    <row r="943" spans="1:30" ht="13.5" customHeight="1">
      <c r="A943" s="26"/>
      <c r="B943" s="26"/>
      <c r="C943" s="26"/>
      <c r="D943" s="26"/>
      <c r="E943" s="27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  <c r="AA943" s="26"/>
      <c r="AB943" s="26"/>
      <c r="AC943" s="26"/>
      <c r="AD943" s="26"/>
    </row>
    <row r="944" spans="1:30" ht="13.5" customHeight="1">
      <c r="A944" s="26"/>
      <c r="B944" s="26"/>
      <c r="C944" s="26"/>
      <c r="D944" s="26"/>
      <c r="E944" s="27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  <c r="AA944" s="26"/>
      <c r="AB944" s="26"/>
      <c r="AC944" s="26"/>
      <c r="AD944" s="26"/>
    </row>
    <row r="945" spans="1:30" ht="13.5" customHeight="1">
      <c r="A945" s="26"/>
      <c r="B945" s="26"/>
      <c r="C945" s="26"/>
      <c r="D945" s="26"/>
      <c r="E945" s="27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  <c r="AA945" s="26"/>
      <c r="AB945" s="26"/>
      <c r="AC945" s="26"/>
      <c r="AD945" s="26"/>
    </row>
    <row r="946" spans="1:30" ht="13.5" customHeight="1">
      <c r="A946" s="26"/>
      <c r="B946" s="26"/>
      <c r="C946" s="26"/>
      <c r="D946" s="26"/>
      <c r="E946" s="27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  <c r="AA946" s="26"/>
      <c r="AB946" s="26"/>
      <c r="AC946" s="26"/>
      <c r="AD946" s="26"/>
    </row>
    <row r="947" spans="1:30" ht="13.5" customHeight="1">
      <c r="A947" s="26"/>
      <c r="B947" s="26"/>
      <c r="C947" s="26"/>
      <c r="D947" s="26"/>
      <c r="E947" s="27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  <c r="AA947" s="26"/>
      <c r="AB947" s="26"/>
      <c r="AC947" s="26"/>
      <c r="AD947" s="26"/>
    </row>
    <row r="948" spans="1:30" ht="13.5" customHeight="1">
      <c r="A948" s="26"/>
      <c r="B948" s="26"/>
      <c r="C948" s="26"/>
      <c r="D948" s="26"/>
      <c r="E948" s="27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  <c r="AA948" s="26"/>
      <c r="AB948" s="26"/>
      <c r="AC948" s="26"/>
      <c r="AD948" s="26"/>
    </row>
    <row r="949" spans="1:30" ht="13.5" customHeight="1">
      <c r="A949" s="26"/>
      <c r="B949" s="26"/>
      <c r="C949" s="26"/>
      <c r="D949" s="26"/>
      <c r="E949" s="27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  <c r="AA949" s="26"/>
      <c r="AB949" s="26"/>
      <c r="AC949" s="26"/>
      <c r="AD949" s="26"/>
    </row>
    <row r="950" spans="1:30" ht="13.5" customHeight="1">
      <c r="A950" s="26"/>
      <c r="B950" s="26"/>
      <c r="C950" s="26"/>
      <c r="D950" s="26"/>
      <c r="E950" s="27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  <c r="AA950" s="26"/>
      <c r="AB950" s="26"/>
      <c r="AC950" s="26"/>
      <c r="AD950" s="26"/>
    </row>
    <row r="951" spans="1:30" ht="13.5" customHeight="1">
      <c r="A951" s="26"/>
      <c r="B951" s="26"/>
      <c r="C951" s="26"/>
      <c r="D951" s="26"/>
      <c r="E951" s="27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  <c r="AA951" s="26"/>
      <c r="AB951" s="26"/>
      <c r="AC951" s="26"/>
      <c r="AD951" s="26"/>
    </row>
    <row r="952" spans="1:30" ht="13.5" customHeight="1">
      <c r="A952" s="26"/>
      <c r="B952" s="26"/>
      <c r="C952" s="26"/>
      <c r="D952" s="26"/>
      <c r="E952" s="27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  <c r="AA952" s="26"/>
      <c r="AB952" s="26"/>
      <c r="AC952" s="26"/>
      <c r="AD952" s="26"/>
    </row>
    <row r="953" spans="1:30" ht="13.5" customHeight="1">
      <c r="A953" s="26"/>
      <c r="B953" s="26"/>
      <c r="C953" s="26"/>
      <c r="D953" s="26"/>
      <c r="E953" s="27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  <c r="AA953" s="26"/>
      <c r="AB953" s="26"/>
      <c r="AC953" s="26"/>
      <c r="AD953" s="26"/>
    </row>
    <row r="954" spans="1:30" ht="13.5" customHeight="1">
      <c r="A954" s="26"/>
      <c r="B954" s="26"/>
      <c r="C954" s="26"/>
      <c r="D954" s="26"/>
      <c r="E954" s="27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  <c r="AA954" s="26"/>
      <c r="AB954" s="26"/>
      <c r="AC954" s="26"/>
      <c r="AD954" s="26"/>
    </row>
    <row r="955" spans="1:30" ht="13.5" customHeight="1">
      <c r="A955" s="26"/>
      <c r="B955" s="26"/>
      <c r="C955" s="26"/>
      <c r="D955" s="26"/>
      <c r="E955" s="27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  <c r="AA955" s="26"/>
      <c r="AB955" s="26"/>
      <c r="AC955" s="26"/>
      <c r="AD955" s="26"/>
    </row>
    <row r="956" spans="1:30" ht="13.5" customHeight="1">
      <c r="A956" s="26"/>
      <c r="B956" s="26"/>
      <c r="C956" s="26"/>
      <c r="D956" s="26"/>
      <c r="E956" s="27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  <c r="AA956" s="26"/>
      <c r="AB956" s="26"/>
      <c r="AC956" s="26"/>
      <c r="AD956" s="26"/>
    </row>
    <row r="957" spans="1:30" ht="13.5" customHeight="1">
      <c r="A957" s="26"/>
      <c r="B957" s="26"/>
      <c r="C957" s="26"/>
      <c r="D957" s="26"/>
      <c r="E957" s="27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  <c r="AA957" s="26"/>
      <c r="AB957" s="26"/>
      <c r="AC957" s="26"/>
      <c r="AD957" s="26"/>
    </row>
    <row r="958" spans="1:30" ht="13.5" customHeight="1">
      <c r="A958" s="26"/>
      <c r="B958" s="26"/>
      <c r="C958" s="26"/>
      <c r="D958" s="26"/>
      <c r="E958" s="27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  <c r="AA958" s="26"/>
      <c r="AB958" s="26"/>
      <c r="AC958" s="26"/>
      <c r="AD958" s="26"/>
    </row>
    <row r="959" spans="1:30" ht="13.5" customHeight="1">
      <c r="A959" s="26"/>
      <c r="B959" s="26"/>
      <c r="C959" s="26"/>
      <c r="D959" s="26"/>
      <c r="E959" s="27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  <c r="AA959" s="26"/>
      <c r="AB959" s="26"/>
      <c r="AC959" s="26"/>
      <c r="AD959" s="26"/>
    </row>
    <row r="960" spans="1:30" ht="13.5" customHeight="1">
      <c r="A960" s="26"/>
      <c r="B960" s="26"/>
      <c r="C960" s="26"/>
      <c r="D960" s="26"/>
      <c r="E960" s="27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  <c r="AA960" s="26"/>
      <c r="AB960" s="26"/>
      <c r="AC960" s="26"/>
      <c r="AD960" s="26"/>
    </row>
    <row r="961" spans="1:30" ht="13.5" customHeight="1">
      <c r="A961" s="26"/>
      <c r="B961" s="26"/>
      <c r="C961" s="26"/>
      <c r="D961" s="26"/>
      <c r="E961" s="27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  <c r="AA961" s="26"/>
      <c r="AB961" s="26"/>
      <c r="AC961" s="26"/>
      <c r="AD961" s="26"/>
    </row>
    <row r="962" spans="1:30" ht="13.5" customHeight="1">
      <c r="A962" s="26"/>
      <c r="B962" s="26"/>
      <c r="C962" s="26"/>
      <c r="D962" s="26"/>
      <c r="E962" s="27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  <c r="AA962" s="26"/>
      <c r="AB962" s="26"/>
      <c r="AC962" s="26"/>
      <c r="AD962" s="26"/>
    </row>
    <row r="963" spans="1:30" ht="13.5" customHeight="1">
      <c r="A963" s="26"/>
      <c r="B963" s="26"/>
      <c r="C963" s="26"/>
      <c r="D963" s="26"/>
      <c r="E963" s="27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  <c r="AA963" s="26"/>
      <c r="AB963" s="26"/>
      <c r="AC963" s="26"/>
      <c r="AD963" s="26"/>
    </row>
    <row r="964" spans="1:30" ht="13.5" customHeight="1">
      <c r="A964" s="26"/>
      <c r="B964" s="26"/>
      <c r="C964" s="26"/>
      <c r="D964" s="26"/>
      <c r="E964" s="27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  <c r="AA964" s="26"/>
      <c r="AB964" s="26"/>
      <c r="AC964" s="26"/>
      <c r="AD964" s="26"/>
    </row>
    <row r="965" spans="1:30" ht="13.5" customHeight="1">
      <c r="A965" s="26"/>
      <c r="B965" s="26"/>
      <c r="C965" s="26"/>
      <c r="D965" s="26"/>
      <c r="E965" s="27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  <c r="AA965" s="26"/>
      <c r="AB965" s="26"/>
      <c r="AC965" s="26"/>
      <c r="AD965" s="26"/>
    </row>
    <row r="966" spans="1:30" ht="13.5" customHeight="1">
      <c r="A966" s="26"/>
      <c r="B966" s="26"/>
      <c r="C966" s="26"/>
      <c r="D966" s="26"/>
      <c r="E966" s="27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  <c r="AA966" s="26"/>
      <c r="AB966" s="26"/>
      <c r="AC966" s="26"/>
      <c r="AD966" s="26"/>
    </row>
    <row r="967" spans="1:30" ht="13.5" customHeight="1">
      <c r="A967" s="26"/>
      <c r="B967" s="26"/>
      <c r="C967" s="26"/>
      <c r="D967" s="26"/>
      <c r="E967" s="27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  <c r="AA967" s="26"/>
      <c r="AB967" s="26"/>
      <c r="AC967" s="26"/>
      <c r="AD967" s="26"/>
    </row>
    <row r="968" spans="1:30" ht="13.5" customHeight="1">
      <c r="A968" s="26"/>
      <c r="B968" s="26"/>
      <c r="C968" s="26"/>
      <c r="D968" s="26"/>
      <c r="E968" s="27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  <c r="AA968" s="26"/>
      <c r="AB968" s="26"/>
      <c r="AC968" s="26"/>
      <c r="AD968" s="26"/>
    </row>
    <row r="969" spans="1:30" ht="13.5" customHeight="1">
      <c r="A969" s="26"/>
      <c r="B969" s="26"/>
      <c r="C969" s="26"/>
      <c r="D969" s="26"/>
      <c r="E969" s="27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  <c r="AA969" s="26"/>
      <c r="AB969" s="26"/>
      <c r="AC969" s="26"/>
      <c r="AD969" s="26"/>
    </row>
    <row r="970" spans="1:30" ht="13.5" customHeight="1">
      <c r="A970" s="26"/>
      <c r="B970" s="26"/>
      <c r="C970" s="26"/>
      <c r="D970" s="26"/>
      <c r="E970" s="27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  <c r="AA970" s="26"/>
      <c r="AB970" s="26"/>
      <c r="AC970" s="26"/>
      <c r="AD970" s="26"/>
    </row>
    <row r="971" spans="1:30" ht="13.5" customHeight="1">
      <c r="A971" s="26"/>
      <c r="B971" s="26"/>
      <c r="C971" s="26"/>
      <c r="D971" s="26"/>
      <c r="E971" s="27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  <c r="AA971" s="26"/>
      <c r="AB971" s="26"/>
      <c r="AC971" s="26"/>
      <c r="AD971" s="26"/>
    </row>
    <row r="972" spans="1:30" ht="13.5" customHeight="1">
      <c r="A972" s="26"/>
      <c r="B972" s="26"/>
      <c r="C972" s="26"/>
      <c r="D972" s="26"/>
      <c r="E972" s="27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  <c r="AA972" s="26"/>
      <c r="AB972" s="26"/>
      <c r="AC972" s="26"/>
      <c r="AD972" s="26"/>
    </row>
    <row r="973" spans="1:30" ht="13.5" customHeight="1">
      <c r="A973" s="26"/>
      <c r="B973" s="26"/>
      <c r="C973" s="26"/>
      <c r="D973" s="26"/>
      <c r="E973" s="27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  <c r="AA973" s="26"/>
      <c r="AB973" s="26"/>
      <c r="AC973" s="26"/>
      <c r="AD973" s="26"/>
    </row>
    <row r="974" spans="1:30" ht="13.5" customHeight="1">
      <c r="A974" s="26"/>
      <c r="B974" s="26"/>
      <c r="C974" s="26"/>
      <c r="D974" s="26"/>
      <c r="E974" s="27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  <c r="AA974" s="26"/>
      <c r="AB974" s="26"/>
      <c r="AC974" s="26"/>
      <c r="AD974" s="26"/>
    </row>
    <row r="975" spans="1:30" ht="13.5" customHeight="1">
      <c r="A975" s="26"/>
      <c r="B975" s="26"/>
      <c r="C975" s="26"/>
      <c r="D975" s="26"/>
      <c r="E975" s="27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  <c r="AA975" s="26"/>
      <c r="AB975" s="26"/>
      <c r="AC975" s="26"/>
      <c r="AD975" s="26"/>
    </row>
    <row r="976" spans="1:30" ht="13.5" customHeight="1">
      <c r="A976" s="26"/>
      <c r="B976" s="26"/>
      <c r="C976" s="26"/>
      <c r="D976" s="26"/>
      <c r="E976" s="27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  <c r="AA976" s="26"/>
      <c r="AB976" s="26"/>
      <c r="AC976" s="26"/>
      <c r="AD976" s="26"/>
    </row>
    <row r="977" spans="1:30" ht="13.5" customHeight="1">
      <c r="A977" s="26"/>
      <c r="B977" s="26"/>
      <c r="C977" s="26"/>
      <c r="D977" s="26"/>
      <c r="E977" s="27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  <c r="AA977" s="26"/>
      <c r="AB977" s="26"/>
      <c r="AC977" s="26"/>
      <c r="AD977" s="26"/>
    </row>
    <row r="978" spans="1:30" ht="13.5" customHeight="1">
      <c r="A978" s="26"/>
      <c r="B978" s="26"/>
      <c r="C978" s="26"/>
      <c r="D978" s="26"/>
      <c r="E978" s="27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  <c r="AA978" s="26"/>
      <c r="AB978" s="26"/>
      <c r="AC978" s="26"/>
      <c r="AD978" s="26"/>
    </row>
    <row r="979" spans="1:30" ht="13.5" customHeight="1">
      <c r="A979" s="26"/>
      <c r="B979" s="26"/>
      <c r="C979" s="26"/>
      <c r="D979" s="26"/>
      <c r="E979" s="27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  <c r="AA979" s="26"/>
      <c r="AB979" s="26"/>
      <c r="AC979" s="26"/>
      <c r="AD979" s="26"/>
    </row>
    <row r="980" spans="1:30" ht="13.5" customHeight="1">
      <c r="A980" s="26"/>
      <c r="B980" s="26"/>
      <c r="C980" s="26"/>
      <c r="D980" s="26"/>
      <c r="E980" s="27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  <c r="AA980" s="26"/>
      <c r="AB980" s="26"/>
      <c r="AC980" s="26"/>
      <c r="AD980" s="26"/>
    </row>
    <row r="981" spans="1:30" ht="13.5" customHeight="1">
      <c r="A981" s="26"/>
      <c r="B981" s="26"/>
      <c r="C981" s="26"/>
      <c r="D981" s="26"/>
      <c r="E981" s="27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  <c r="AA981" s="26"/>
      <c r="AB981" s="26"/>
      <c r="AC981" s="26"/>
      <c r="AD981" s="26"/>
    </row>
    <row r="982" spans="1:30" ht="13.5" customHeight="1">
      <c r="A982" s="26"/>
      <c r="B982" s="26"/>
      <c r="C982" s="26"/>
      <c r="D982" s="26"/>
      <c r="E982" s="27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  <c r="AA982" s="26"/>
      <c r="AB982" s="26"/>
      <c r="AC982" s="26"/>
      <c r="AD982" s="26"/>
    </row>
    <row r="983" spans="1:30" ht="13.5" customHeight="1">
      <c r="A983" s="26"/>
      <c r="B983" s="26"/>
      <c r="C983" s="26"/>
      <c r="D983" s="26"/>
      <c r="E983" s="27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  <c r="AA983" s="26"/>
      <c r="AB983" s="26"/>
      <c r="AC983" s="26"/>
      <c r="AD983" s="26"/>
    </row>
    <row r="984" spans="1:30" ht="13.5" customHeight="1">
      <c r="A984" s="26"/>
      <c r="B984" s="26"/>
      <c r="C984" s="26"/>
      <c r="D984" s="26"/>
      <c r="E984" s="27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  <c r="AA984" s="26"/>
      <c r="AB984" s="26"/>
      <c r="AC984" s="26"/>
      <c r="AD984" s="26"/>
    </row>
    <row r="985" spans="1:30" ht="13.5" customHeight="1">
      <c r="A985" s="26"/>
      <c r="B985" s="26"/>
      <c r="C985" s="26"/>
      <c r="D985" s="26"/>
      <c r="E985" s="27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  <c r="AA985" s="26"/>
      <c r="AB985" s="26"/>
      <c r="AC985" s="26"/>
      <c r="AD985" s="26"/>
    </row>
    <row r="986" spans="1:30" ht="13.5" customHeight="1">
      <c r="A986" s="26"/>
      <c r="B986" s="26"/>
      <c r="C986" s="26"/>
      <c r="D986" s="26"/>
      <c r="E986" s="27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  <c r="AA986" s="26"/>
      <c r="AB986" s="26"/>
      <c r="AC986" s="26"/>
      <c r="AD986" s="26"/>
    </row>
    <row r="987" spans="1:30" ht="13.5" customHeight="1">
      <c r="A987" s="26"/>
      <c r="B987" s="26"/>
      <c r="C987" s="26"/>
      <c r="D987" s="26"/>
      <c r="E987" s="27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  <c r="AA987" s="26"/>
      <c r="AB987" s="26"/>
      <c r="AC987" s="26"/>
      <c r="AD987" s="26"/>
    </row>
    <row r="988" spans="1:30" ht="13.5" customHeight="1">
      <c r="A988" s="26"/>
      <c r="B988" s="26"/>
      <c r="C988" s="26"/>
      <c r="D988" s="26"/>
      <c r="E988" s="27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  <c r="AA988" s="26"/>
      <c r="AB988" s="26"/>
      <c r="AC988" s="26"/>
      <c r="AD988" s="26"/>
    </row>
    <row r="989" spans="1:30" ht="13.5" customHeight="1">
      <c r="A989" s="26"/>
      <c r="B989" s="26"/>
      <c r="C989" s="26"/>
      <c r="D989" s="26"/>
      <c r="E989" s="27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  <c r="AA989" s="26"/>
      <c r="AB989" s="26"/>
      <c r="AC989" s="26"/>
      <c r="AD989" s="26"/>
    </row>
    <row r="990" spans="1:30" ht="13.5" customHeight="1">
      <c r="A990" s="26"/>
      <c r="B990" s="26"/>
      <c r="C990" s="26"/>
      <c r="D990" s="26"/>
      <c r="E990" s="27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  <c r="AA990" s="26"/>
      <c r="AB990" s="26"/>
      <c r="AC990" s="26"/>
      <c r="AD990" s="26"/>
    </row>
    <row r="991" spans="1:30" ht="13.5" customHeight="1">
      <c r="A991" s="26"/>
      <c r="B991" s="26"/>
      <c r="C991" s="26"/>
      <c r="D991" s="26"/>
      <c r="E991" s="27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  <c r="AA991" s="26"/>
      <c r="AB991" s="26"/>
      <c r="AC991" s="26"/>
      <c r="AD991" s="26"/>
    </row>
    <row r="992" spans="1:30" ht="13.5" customHeight="1">
      <c r="A992" s="26"/>
      <c r="B992" s="26"/>
      <c r="C992" s="26"/>
      <c r="D992" s="26"/>
      <c r="E992" s="27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  <c r="AA992" s="26"/>
      <c r="AB992" s="26"/>
      <c r="AC992" s="26"/>
      <c r="AD992" s="26"/>
    </row>
    <row r="993" spans="1:30" ht="13.5" customHeight="1">
      <c r="A993" s="26"/>
      <c r="B993" s="26"/>
      <c r="C993" s="26"/>
      <c r="D993" s="26"/>
      <c r="E993" s="27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  <c r="AA993" s="26"/>
      <c r="AB993" s="26"/>
      <c r="AC993" s="26"/>
      <c r="AD993" s="26"/>
    </row>
    <row r="994" spans="1:30" ht="13.5" customHeight="1">
      <c r="A994" s="26"/>
      <c r="B994" s="26"/>
      <c r="C994" s="26"/>
      <c r="D994" s="26"/>
      <c r="E994" s="27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  <c r="AA994" s="26"/>
      <c r="AB994" s="26"/>
      <c r="AC994" s="26"/>
      <c r="AD994" s="26"/>
    </row>
    <row r="995" spans="1:30" ht="13.5" customHeight="1">
      <c r="A995" s="26"/>
      <c r="B995" s="26"/>
      <c r="C995" s="26"/>
      <c r="D995" s="26"/>
      <c r="E995" s="27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  <c r="AA995" s="26"/>
      <c r="AB995" s="26"/>
      <c r="AC995" s="26"/>
      <c r="AD995" s="26"/>
    </row>
    <row r="996" spans="1:30" ht="13.5" customHeight="1">
      <c r="A996" s="26"/>
      <c r="B996" s="26"/>
      <c r="C996" s="26"/>
      <c r="D996" s="26"/>
      <c r="E996" s="27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  <c r="AA996" s="26"/>
      <c r="AB996" s="26"/>
      <c r="AC996" s="26"/>
      <c r="AD996" s="26"/>
    </row>
    <row r="997" spans="1:30" ht="13.5" customHeight="1">
      <c r="A997" s="26"/>
      <c r="B997" s="26"/>
      <c r="C997" s="26"/>
      <c r="D997" s="26"/>
      <c r="E997" s="27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  <c r="AA997" s="26"/>
      <c r="AB997" s="26"/>
      <c r="AC997" s="26"/>
      <c r="AD997" s="26"/>
    </row>
    <row r="998" spans="1:30" ht="13.5" customHeight="1">
      <c r="A998" s="26"/>
      <c r="B998" s="26"/>
      <c r="C998" s="26"/>
      <c r="D998" s="26"/>
      <c r="E998" s="27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  <c r="AA998" s="26"/>
      <c r="AB998" s="26"/>
      <c r="AC998" s="26"/>
      <c r="AD998" s="26"/>
    </row>
    <row r="999" spans="1:30" ht="13.5" customHeight="1">
      <c r="A999" s="26"/>
      <c r="B999" s="26"/>
      <c r="C999" s="26"/>
      <c r="D999" s="26"/>
      <c r="E999" s="27"/>
      <c r="F999" s="26"/>
      <c r="G999" s="26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  <c r="AA999" s="26"/>
      <c r="AB999" s="26"/>
      <c r="AC999" s="26"/>
      <c r="AD999" s="26"/>
    </row>
    <row r="1000" spans="1:30" ht="13.5" customHeight="1">
      <c r="A1000" s="26"/>
      <c r="B1000" s="26"/>
      <c r="C1000" s="26"/>
      <c r="D1000" s="26"/>
      <c r="E1000" s="27"/>
      <c r="F1000" s="26"/>
      <c r="G1000" s="26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  <c r="AA1000" s="26"/>
      <c r="AB1000" s="26"/>
      <c r="AC1000" s="26"/>
      <c r="AD1000" s="26"/>
    </row>
  </sheetData>
  <mergeCells count="22">
    <mergeCell ref="AC44:AC49"/>
    <mergeCell ref="AD44:AD49"/>
    <mergeCell ref="B44:B46"/>
    <mergeCell ref="B47:B49"/>
    <mergeCell ref="M2:M8"/>
    <mergeCell ref="N2:N8"/>
    <mergeCell ref="O2:O9"/>
    <mergeCell ref="C40:P42"/>
    <mergeCell ref="R40:AD41"/>
    <mergeCell ref="R44:R49"/>
    <mergeCell ref="Q45:Q46"/>
    <mergeCell ref="Q48:Q49"/>
    <mergeCell ref="X44:X49"/>
    <mergeCell ref="Y44:Y49"/>
    <mergeCell ref="Z44:Z49"/>
    <mergeCell ref="AA44:AA49"/>
    <mergeCell ref="AB44:AB49"/>
    <mergeCell ref="S44:S49"/>
    <mergeCell ref="T44:T49"/>
    <mergeCell ref="U44:U49"/>
    <mergeCell ref="V44:V49"/>
    <mergeCell ref="W44:W49"/>
  </mergeCells>
  <pageMargins left="0.23622047244094491" right="0.23622047244094491" top="0.74803149606299213" bottom="0.74803149606299213" header="0" footer="0"/>
  <pageSetup orientation="landscape"/>
  <headerFooter>
    <oddFooter>&amp;L&amp;D&amp;Rhttp://www.yourpersonalstrengthcoach.com wolfgang@yourpersonalstrengthcoach.com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2</vt:i4>
      </vt:variant>
    </vt:vector>
  </HeadingPairs>
  <TitlesOfParts>
    <vt:vector size="5" baseType="lpstr">
      <vt:lpstr>Person</vt:lpstr>
      <vt:lpstr>Tracking</vt:lpstr>
      <vt:lpstr>Grafik</vt:lpstr>
      <vt:lpstr>Grafik!Z_ABAAE3B4_BD11_4E4B_9CA9_F57AB63E348A_.wvu.PrintArea</vt:lpstr>
      <vt:lpstr>Tracking!Z_ABAAE3B4_BD11_4E4B_9CA9_F57AB63E348A_.wvu.PrintArea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Florian Rau</cp:lastModifiedBy>
  <dcterms:modified xsi:type="dcterms:W3CDTF">2026-09-13T19:11:22Z</dcterms:modified>
</cp:coreProperties>
</file>